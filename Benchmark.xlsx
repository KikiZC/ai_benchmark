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ikiz\Desktop\AI benchmark\"/>
    </mc:Choice>
  </mc:AlternateContent>
  <xr:revisionPtr revIDLastSave="0" documentId="13_ncr:1_{22E9B559-3262-43F9-81ED-32BD9DDCBC3E}" xr6:coauthVersionLast="47" xr6:coauthVersionMax="47" xr10:uidLastSave="{00000000-0000-0000-0000-000000000000}"/>
  <bookViews>
    <workbookView xWindow="38280" yWindow="2970" windowWidth="29040" windowHeight="15960" activeTab="1" xr2:uid="{00000000-000D-0000-FFFF-FFFF00000000}"/>
  </bookViews>
  <sheets>
    <sheet name="Info" sheetId="1" r:id="rId1"/>
    <sheet name="Základ" sheetId="3" r:id="rId2"/>
    <sheet name="Programování" sheetId="4" r:id="rId3"/>
    <sheet name="Sumarizace" sheetId="5" r:id="rId4"/>
    <sheet name="Tool-Calling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2" i="6" l="1"/>
  <c r="C121" i="6"/>
  <c r="A121" i="6"/>
  <c r="C120" i="6"/>
  <c r="A120" i="6"/>
  <c r="C119" i="6"/>
  <c r="A119" i="6"/>
  <c r="C118" i="6"/>
  <c r="A118" i="6"/>
  <c r="C117" i="6"/>
  <c r="A117" i="6"/>
  <c r="C115" i="6"/>
  <c r="A115" i="6"/>
  <c r="C114" i="6"/>
  <c r="A114" i="6"/>
  <c r="C113" i="6"/>
  <c r="A113" i="6"/>
  <c r="C112" i="6"/>
  <c r="A112" i="6"/>
  <c r="C111" i="6"/>
  <c r="A111" i="6"/>
  <c r="C110" i="6"/>
  <c r="A110" i="6"/>
  <c r="A108" i="6"/>
  <c r="A107" i="6"/>
  <c r="A106" i="6"/>
  <c r="A105" i="6"/>
  <c r="A104" i="6"/>
  <c r="C103" i="6"/>
  <c r="A103" i="6"/>
  <c r="C101" i="6"/>
  <c r="A101" i="6"/>
  <c r="C100" i="6"/>
  <c r="A100" i="6"/>
  <c r="C99" i="6"/>
  <c r="A99" i="6"/>
  <c r="C98" i="6"/>
  <c r="A98" i="6"/>
  <c r="C97" i="6"/>
  <c r="A97" i="6"/>
  <c r="C96" i="6"/>
  <c r="A96" i="6"/>
  <c r="C94" i="6"/>
  <c r="A94" i="6"/>
  <c r="C93" i="6"/>
  <c r="A93" i="6"/>
  <c r="C92" i="6"/>
  <c r="A92" i="6"/>
  <c r="C91" i="6"/>
  <c r="A91" i="6"/>
  <c r="C90" i="6"/>
  <c r="A90" i="6"/>
  <c r="C89" i="6"/>
  <c r="A89" i="6"/>
  <c r="C87" i="6"/>
  <c r="A87" i="6"/>
  <c r="C86" i="6"/>
  <c r="A86" i="6"/>
  <c r="C85" i="6"/>
  <c r="A85" i="6"/>
  <c r="C84" i="6"/>
  <c r="A84" i="6"/>
  <c r="C83" i="6"/>
  <c r="A83" i="6"/>
  <c r="C82" i="6"/>
  <c r="A82" i="6"/>
  <c r="A80" i="6"/>
  <c r="C79" i="6"/>
  <c r="A79" i="6"/>
  <c r="C78" i="6"/>
  <c r="A78" i="6"/>
  <c r="C77" i="6"/>
  <c r="A77" i="6"/>
  <c r="C76" i="6"/>
  <c r="A76" i="6"/>
  <c r="C75" i="6"/>
  <c r="A75" i="6"/>
  <c r="A73" i="6"/>
  <c r="C72" i="6"/>
  <c r="A72" i="6"/>
  <c r="C71" i="6"/>
  <c r="A71" i="6"/>
  <c r="C70" i="6"/>
  <c r="A70" i="6"/>
  <c r="C69" i="6"/>
  <c r="A69" i="6"/>
  <c r="C68" i="6"/>
  <c r="A68" i="6"/>
  <c r="C66" i="6"/>
  <c r="A66" i="6"/>
  <c r="C65" i="6"/>
  <c r="A65" i="6"/>
  <c r="C64" i="6"/>
  <c r="A64" i="6"/>
  <c r="C63" i="6"/>
  <c r="A63" i="6"/>
  <c r="C62" i="6"/>
  <c r="A62" i="6"/>
  <c r="C61" i="6"/>
  <c r="A61" i="6"/>
  <c r="A59" i="6"/>
  <c r="A58" i="6"/>
  <c r="A57" i="6"/>
  <c r="C56" i="6"/>
  <c r="A56" i="6"/>
  <c r="C55" i="6"/>
  <c r="A55" i="6"/>
  <c r="C54" i="6"/>
  <c r="A54" i="6"/>
  <c r="A52" i="6"/>
  <c r="C51" i="6"/>
  <c r="A51" i="6"/>
  <c r="C50" i="6"/>
  <c r="A50" i="6"/>
  <c r="C49" i="6"/>
  <c r="A49" i="6"/>
  <c r="C48" i="6"/>
  <c r="A48" i="6"/>
  <c r="C47" i="6"/>
  <c r="A47" i="6"/>
  <c r="C45" i="6"/>
  <c r="A45" i="6"/>
  <c r="C44" i="6"/>
  <c r="A44" i="6"/>
  <c r="C43" i="6"/>
  <c r="A43" i="6"/>
  <c r="C42" i="6"/>
  <c r="A42" i="6"/>
  <c r="C41" i="6"/>
  <c r="A41" i="6"/>
  <c r="C40" i="6"/>
  <c r="A40" i="6"/>
  <c r="A38" i="6"/>
  <c r="C37" i="6"/>
  <c r="A37" i="6"/>
  <c r="C36" i="6"/>
  <c r="A36" i="6"/>
  <c r="C35" i="6"/>
  <c r="A35" i="6"/>
  <c r="C34" i="6"/>
  <c r="A34" i="6"/>
  <c r="C33" i="6"/>
  <c r="A33" i="6"/>
  <c r="A31" i="6"/>
  <c r="A30" i="6"/>
  <c r="A29" i="6"/>
  <c r="C28" i="6"/>
  <c r="A28" i="6"/>
  <c r="C27" i="6"/>
  <c r="A27" i="6"/>
  <c r="C26" i="6"/>
  <c r="A26" i="6"/>
  <c r="A24" i="6"/>
  <c r="C23" i="6"/>
  <c r="A23" i="6"/>
  <c r="C22" i="6"/>
  <c r="A22" i="6"/>
  <c r="C21" i="6"/>
  <c r="A21" i="6"/>
  <c r="C20" i="6"/>
  <c r="A20" i="6"/>
  <c r="C19" i="6"/>
  <c r="A19" i="6"/>
  <c r="A17" i="6"/>
  <c r="C16" i="6"/>
  <c r="A16" i="6"/>
  <c r="C15" i="6"/>
  <c r="A15" i="6"/>
  <c r="C14" i="6"/>
  <c r="A14" i="6"/>
  <c r="C13" i="6"/>
  <c r="A13" i="6"/>
  <c r="C12" i="6"/>
  <c r="A12" i="6"/>
  <c r="A10" i="6"/>
  <c r="C9" i="6"/>
  <c r="A9" i="6"/>
  <c r="C8" i="6"/>
  <c r="A8" i="6"/>
  <c r="C7" i="6"/>
  <c r="A7" i="6"/>
  <c r="C6" i="6"/>
  <c r="A6" i="6"/>
  <c r="C5" i="6"/>
  <c r="A5" i="6"/>
  <c r="A122" i="5"/>
  <c r="C121" i="5"/>
  <c r="A121" i="5"/>
  <c r="C120" i="5"/>
  <c r="A120" i="5"/>
  <c r="C119" i="5"/>
  <c r="A119" i="5"/>
  <c r="C118" i="5"/>
  <c r="A118" i="5"/>
  <c r="C117" i="5"/>
  <c r="A117" i="5"/>
  <c r="C115" i="5"/>
  <c r="A115" i="5"/>
  <c r="C114" i="5"/>
  <c r="A114" i="5"/>
  <c r="C113" i="5"/>
  <c r="A113" i="5"/>
  <c r="C112" i="5"/>
  <c r="A112" i="5"/>
  <c r="C111" i="5"/>
  <c r="A111" i="5"/>
  <c r="C110" i="5"/>
  <c r="A110" i="5"/>
  <c r="A108" i="5"/>
  <c r="A107" i="5"/>
  <c r="A106" i="5"/>
  <c r="A105" i="5"/>
  <c r="A104" i="5"/>
  <c r="C103" i="5"/>
  <c r="A103" i="5"/>
  <c r="C101" i="5"/>
  <c r="A101" i="5"/>
  <c r="C100" i="5"/>
  <c r="A100" i="5"/>
  <c r="C99" i="5"/>
  <c r="A99" i="5"/>
  <c r="C98" i="5"/>
  <c r="A98" i="5"/>
  <c r="C97" i="5"/>
  <c r="A97" i="5"/>
  <c r="C96" i="5"/>
  <c r="A96" i="5"/>
  <c r="C94" i="5"/>
  <c r="A94" i="5"/>
  <c r="C93" i="5"/>
  <c r="A93" i="5"/>
  <c r="C92" i="5"/>
  <c r="A92" i="5"/>
  <c r="C91" i="5"/>
  <c r="A91" i="5"/>
  <c r="C90" i="5"/>
  <c r="A90" i="5"/>
  <c r="C89" i="5"/>
  <c r="A89" i="5"/>
  <c r="C87" i="5"/>
  <c r="A87" i="5"/>
  <c r="C86" i="5"/>
  <c r="A86" i="5"/>
  <c r="C85" i="5"/>
  <c r="A85" i="5"/>
  <c r="C84" i="5"/>
  <c r="A84" i="5"/>
  <c r="C83" i="5"/>
  <c r="A83" i="5"/>
  <c r="C82" i="5"/>
  <c r="A82" i="5"/>
  <c r="A80" i="5"/>
  <c r="C79" i="5"/>
  <c r="A79" i="5"/>
  <c r="C78" i="5"/>
  <c r="A78" i="5"/>
  <c r="C77" i="5"/>
  <c r="A77" i="5"/>
  <c r="C76" i="5"/>
  <c r="A76" i="5"/>
  <c r="C75" i="5"/>
  <c r="A75" i="5"/>
  <c r="A73" i="5"/>
  <c r="C72" i="5"/>
  <c r="A72" i="5"/>
  <c r="C71" i="5"/>
  <c r="A71" i="5"/>
  <c r="C70" i="5"/>
  <c r="A70" i="5"/>
  <c r="C69" i="5"/>
  <c r="A69" i="5"/>
  <c r="C68" i="5"/>
  <c r="A68" i="5"/>
  <c r="C66" i="5"/>
  <c r="A66" i="5"/>
  <c r="C65" i="5"/>
  <c r="A65" i="5"/>
  <c r="C64" i="5"/>
  <c r="A64" i="5"/>
  <c r="C63" i="5"/>
  <c r="A63" i="5"/>
  <c r="C62" i="5"/>
  <c r="A62" i="5"/>
  <c r="C61" i="5"/>
  <c r="A61" i="5"/>
  <c r="A59" i="5"/>
  <c r="A58" i="5"/>
  <c r="A57" i="5"/>
  <c r="C56" i="5"/>
  <c r="A56" i="5"/>
  <c r="C55" i="5"/>
  <c r="A55" i="5"/>
  <c r="C54" i="5"/>
  <c r="A54" i="5"/>
  <c r="A52" i="5"/>
  <c r="C51" i="5"/>
  <c r="A51" i="5"/>
  <c r="C50" i="5"/>
  <c r="A50" i="5"/>
  <c r="C49" i="5"/>
  <c r="A49" i="5"/>
  <c r="C48" i="5"/>
  <c r="A48" i="5"/>
  <c r="C47" i="5"/>
  <c r="A47" i="5"/>
  <c r="C45" i="5"/>
  <c r="A45" i="5"/>
  <c r="C44" i="5"/>
  <c r="A44" i="5"/>
  <c r="C43" i="5"/>
  <c r="A43" i="5"/>
  <c r="C42" i="5"/>
  <c r="A42" i="5"/>
  <c r="C41" i="5"/>
  <c r="A41" i="5"/>
  <c r="C40" i="5"/>
  <c r="A40" i="5"/>
  <c r="A38" i="5"/>
  <c r="C37" i="5"/>
  <c r="A37" i="5"/>
  <c r="C36" i="5"/>
  <c r="A36" i="5"/>
  <c r="C35" i="5"/>
  <c r="A35" i="5"/>
  <c r="C34" i="5"/>
  <c r="A34" i="5"/>
  <c r="C33" i="5"/>
  <c r="A33" i="5"/>
  <c r="A31" i="5"/>
  <c r="A30" i="5"/>
  <c r="A29" i="5"/>
  <c r="C28" i="5"/>
  <c r="A28" i="5"/>
  <c r="C27" i="5"/>
  <c r="A27" i="5"/>
  <c r="C26" i="5"/>
  <c r="A26" i="5"/>
  <c r="A24" i="5"/>
  <c r="C23" i="5"/>
  <c r="A23" i="5"/>
  <c r="C22" i="5"/>
  <c r="A22" i="5"/>
  <c r="C21" i="5"/>
  <c r="A21" i="5"/>
  <c r="C20" i="5"/>
  <c r="A20" i="5"/>
  <c r="C19" i="5"/>
  <c r="A19" i="5"/>
  <c r="A17" i="5"/>
  <c r="C16" i="5"/>
  <c r="A16" i="5"/>
  <c r="C15" i="5"/>
  <c r="A15" i="5"/>
  <c r="C14" i="5"/>
  <c r="A14" i="5"/>
  <c r="C13" i="5"/>
  <c r="A13" i="5"/>
  <c r="C12" i="5"/>
  <c r="A12" i="5"/>
  <c r="A10" i="5"/>
  <c r="C9" i="5"/>
  <c r="A9" i="5"/>
  <c r="C8" i="5"/>
  <c r="A8" i="5"/>
  <c r="C7" i="5"/>
  <c r="A7" i="5"/>
  <c r="C6" i="5"/>
  <c r="A6" i="5"/>
  <c r="C5" i="5"/>
  <c r="A5" i="5"/>
  <c r="A122" i="4"/>
  <c r="C121" i="4"/>
  <c r="A121" i="4"/>
  <c r="C120" i="4"/>
  <c r="A120" i="4"/>
  <c r="C119" i="4"/>
  <c r="A119" i="4"/>
  <c r="C118" i="4"/>
  <c r="A118" i="4"/>
  <c r="C117" i="4"/>
  <c r="A117" i="4"/>
  <c r="C115" i="4"/>
  <c r="A115" i="4"/>
  <c r="C114" i="4"/>
  <c r="A114" i="4"/>
  <c r="C113" i="4"/>
  <c r="A113" i="4"/>
  <c r="C112" i="4"/>
  <c r="A112" i="4"/>
  <c r="C111" i="4"/>
  <c r="A111" i="4"/>
  <c r="C110" i="4"/>
  <c r="A110" i="4"/>
  <c r="A108" i="4"/>
  <c r="A107" i="4"/>
  <c r="A106" i="4"/>
  <c r="A105" i="4"/>
  <c r="A104" i="4"/>
  <c r="C103" i="4"/>
  <c r="A103" i="4"/>
  <c r="C101" i="4"/>
  <c r="A101" i="4"/>
  <c r="C100" i="4"/>
  <c r="A100" i="4"/>
  <c r="C99" i="4"/>
  <c r="A99" i="4"/>
  <c r="C98" i="4"/>
  <c r="A98" i="4"/>
  <c r="C97" i="4"/>
  <c r="A97" i="4"/>
  <c r="C96" i="4"/>
  <c r="A96" i="4"/>
  <c r="C94" i="4"/>
  <c r="A94" i="4"/>
  <c r="C93" i="4"/>
  <c r="A93" i="4"/>
  <c r="C92" i="4"/>
  <c r="A92" i="4"/>
  <c r="C91" i="4"/>
  <c r="A91" i="4"/>
  <c r="C90" i="4"/>
  <c r="A90" i="4"/>
  <c r="C89" i="4"/>
  <c r="A89" i="4"/>
  <c r="C87" i="4"/>
  <c r="A87" i="4"/>
  <c r="C86" i="4"/>
  <c r="A86" i="4"/>
  <c r="C85" i="4"/>
  <c r="A85" i="4"/>
  <c r="C84" i="4"/>
  <c r="A84" i="4"/>
  <c r="C83" i="4"/>
  <c r="A83" i="4"/>
  <c r="C82" i="4"/>
  <c r="A82" i="4"/>
  <c r="A80" i="4"/>
  <c r="C79" i="4"/>
  <c r="A79" i="4"/>
  <c r="C78" i="4"/>
  <c r="A78" i="4"/>
  <c r="C77" i="4"/>
  <c r="A77" i="4"/>
  <c r="C76" i="4"/>
  <c r="A76" i="4"/>
  <c r="C75" i="4"/>
  <c r="A75" i="4"/>
  <c r="A73" i="4"/>
  <c r="C72" i="4"/>
  <c r="A72" i="4"/>
  <c r="C71" i="4"/>
  <c r="A71" i="4"/>
  <c r="C70" i="4"/>
  <c r="A70" i="4"/>
  <c r="C69" i="4"/>
  <c r="A69" i="4"/>
  <c r="C68" i="4"/>
  <c r="A68" i="4"/>
  <c r="C66" i="4"/>
  <c r="A66" i="4"/>
  <c r="C65" i="4"/>
  <c r="A65" i="4"/>
  <c r="C64" i="4"/>
  <c r="A64" i="4"/>
  <c r="C63" i="4"/>
  <c r="A63" i="4"/>
  <c r="C62" i="4"/>
  <c r="A62" i="4"/>
  <c r="C61" i="4"/>
  <c r="A61" i="4"/>
  <c r="A59" i="4"/>
  <c r="A58" i="4"/>
  <c r="A57" i="4"/>
  <c r="C56" i="4"/>
  <c r="A56" i="4"/>
  <c r="C55" i="4"/>
  <c r="A55" i="4"/>
  <c r="C54" i="4"/>
  <c r="A54" i="4"/>
  <c r="A52" i="4"/>
  <c r="C51" i="4"/>
  <c r="A51" i="4"/>
  <c r="C50" i="4"/>
  <c r="A50" i="4"/>
  <c r="C49" i="4"/>
  <c r="A49" i="4"/>
  <c r="C48" i="4"/>
  <c r="A48" i="4"/>
  <c r="C47" i="4"/>
  <c r="A47" i="4"/>
  <c r="C45" i="4"/>
  <c r="A45" i="4"/>
  <c r="C44" i="4"/>
  <c r="A44" i="4"/>
  <c r="C43" i="4"/>
  <c r="A43" i="4"/>
  <c r="C42" i="4"/>
  <c r="A42" i="4"/>
  <c r="C41" i="4"/>
  <c r="A41" i="4"/>
  <c r="C40" i="4"/>
  <c r="A40" i="4"/>
  <c r="A38" i="4"/>
  <c r="C37" i="4"/>
  <c r="A37" i="4"/>
  <c r="C36" i="4"/>
  <c r="A36" i="4"/>
  <c r="C35" i="4"/>
  <c r="A35" i="4"/>
  <c r="C34" i="4"/>
  <c r="A34" i="4"/>
  <c r="C33" i="4"/>
  <c r="A33" i="4"/>
  <c r="A31" i="4"/>
  <c r="A30" i="4"/>
  <c r="A29" i="4"/>
  <c r="C28" i="4"/>
  <c r="A28" i="4"/>
  <c r="C27" i="4"/>
  <c r="A27" i="4"/>
  <c r="C26" i="4"/>
  <c r="A26" i="4"/>
  <c r="A24" i="4"/>
  <c r="C23" i="4"/>
  <c r="A23" i="4"/>
  <c r="C22" i="4"/>
  <c r="A22" i="4"/>
  <c r="C21" i="4"/>
  <c r="A21" i="4"/>
  <c r="C20" i="4"/>
  <c r="A20" i="4"/>
  <c r="C19" i="4"/>
  <c r="A19" i="4"/>
  <c r="A17" i="4"/>
  <c r="C16" i="4"/>
  <c r="A16" i="4"/>
  <c r="C15" i="4"/>
  <c r="A15" i="4"/>
  <c r="C14" i="4"/>
  <c r="A14" i="4"/>
  <c r="C13" i="4"/>
  <c r="A13" i="4"/>
  <c r="C12" i="4"/>
  <c r="A12" i="4"/>
  <c r="A10" i="4"/>
  <c r="C9" i="4"/>
  <c r="A9" i="4"/>
  <c r="C8" i="4"/>
  <c r="A8" i="4"/>
  <c r="C7" i="4"/>
  <c r="A7" i="4"/>
  <c r="C6" i="4"/>
  <c r="A6" i="4"/>
  <c r="C5" i="4"/>
  <c r="A5" i="4"/>
  <c r="C21" i="3"/>
  <c r="C22" i="3"/>
  <c r="C23" i="3"/>
  <c r="C26" i="3"/>
  <c r="C27" i="3"/>
  <c r="C28" i="3"/>
  <c r="C33" i="3"/>
  <c r="C34" i="3"/>
  <c r="C35" i="3"/>
  <c r="C36" i="3"/>
  <c r="C37" i="3"/>
  <c r="C40" i="3"/>
  <c r="C41" i="3"/>
  <c r="C42" i="3"/>
  <c r="C43" i="3"/>
  <c r="C44" i="3"/>
  <c r="C45" i="3"/>
  <c r="C47" i="3"/>
  <c r="C48" i="3"/>
  <c r="C49" i="3"/>
  <c r="C50" i="3"/>
  <c r="C51" i="3"/>
  <c r="C54" i="3"/>
  <c r="C55" i="3"/>
  <c r="C56" i="3"/>
  <c r="C61" i="3"/>
  <c r="C62" i="3"/>
  <c r="C63" i="3"/>
  <c r="C64" i="3"/>
  <c r="C65" i="3"/>
  <c r="C66" i="3"/>
  <c r="C68" i="3"/>
  <c r="C69" i="3"/>
  <c r="C70" i="3"/>
  <c r="C71" i="3"/>
  <c r="C72" i="3"/>
  <c r="C75" i="3"/>
  <c r="C76" i="3"/>
  <c r="C77" i="3"/>
  <c r="C78" i="3"/>
  <c r="C79" i="3"/>
  <c r="C82" i="3"/>
  <c r="C83" i="3"/>
  <c r="C84" i="3"/>
  <c r="C85" i="3"/>
  <c r="C86" i="3"/>
  <c r="C87" i="3"/>
  <c r="C89" i="3"/>
  <c r="C90" i="3"/>
  <c r="C91" i="3"/>
  <c r="C92" i="3"/>
  <c r="C93" i="3"/>
  <c r="C94" i="3"/>
  <c r="C96" i="3"/>
  <c r="C97" i="3"/>
  <c r="C98" i="3"/>
  <c r="C99" i="3"/>
  <c r="C100" i="3"/>
  <c r="C101" i="3"/>
  <c r="C103" i="3"/>
  <c r="C110" i="3"/>
  <c r="C111" i="3"/>
  <c r="C112" i="3"/>
  <c r="C113" i="3"/>
  <c r="C114" i="3"/>
  <c r="C115" i="3"/>
  <c r="C117" i="3"/>
  <c r="C118" i="3"/>
  <c r="C119" i="3"/>
  <c r="C120" i="3"/>
  <c r="C121" i="3"/>
  <c r="C5" i="3"/>
  <c r="C6" i="3"/>
  <c r="C7" i="3"/>
  <c r="C8" i="3"/>
  <c r="C9" i="3"/>
  <c r="C12" i="3"/>
  <c r="C13" i="3"/>
  <c r="C14" i="3"/>
  <c r="C15" i="3"/>
  <c r="C16" i="3"/>
  <c r="C19" i="3"/>
  <c r="C20" i="3"/>
  <c r="A122" i="3"/>
  <c r="A121" i="3"/>
  <c r="A120" i="3"/>
  <c r="A119" i="3"/>
  <c r="A118" i="3"/>
  <c r="A117" i="3"/>
  <c r="A115" i="3"/>
  <c r="A114" i="3"/>
  <c r="A113" i="3"/>
  <c r="A112" i="3"/>
  <c r="A111" i="3"/>
  <c r="A110" i="3"/>
  <c r="A108" i="3"/>
  <c r="A107" i="3"/>
  <c r="A106" i="3"/>
  <c r="A105" i="3"/>
  <c r="A104" i="3"/>
  <c r="A103" i="3"/>
  <c r="A101" i="3"/>
  <c r="A100" i="3"/>
  <c r="A99" i="3"/>
  <c r="A98" i="3"/>
  <c r="A97" i="3"/>
  <c r="A96" i="3"/>
  <c r="A94" i="3"/>
  <c r="A93" i="3"/>
  <c r="A92" i="3"/>
  <c r="A91" i="3"/>
  <c r="A90" i="3"/>
  <c r="A89" i="3"/>
  <c r="A87" i="3"/>
  <c r="A86" i="3"/>
  <c r="A85" i="3"/>
  <c r="A84" i="3"/>
  <c r="A83" i="3"/>
  <c r="A82" i="3"/>
  <c r="A80" i="3"/>
  <c r="A79" i="3"/>
  <c r="A78" i="3"/>
  <c r="A77" i="3"/>
  <c r="A76" i="3"/>
  <c r="A75" i="3"/>
  <c r="A73" i="3"/>
  <c r="A72" i="3"/>
  <c r="A71" i="3"/>
  <c r="A70" i="3"/>
  <c r="A69" i="3"/>
  <c r="A68" i="3"/>
  <c r="A66" i="3"/>
  <c r="A65" i="3"/>
  <c r="A64" i="3"/>
  <c r="A63" i="3"/>
  <c r="A62" i="3"/>
  <c r="A61" i="3"/>
  <c r="A59" i="3"/>
  <c r="A58" i="3"/>
  <c r="A57" i="3"/>
  <c r="A56" i="3"/>
  <c r="A55" i="3"/>
  <c r="A54" i="3"/>
  <c r="A52" i="3"/>
  <c r="A51" i="3"/>
  <c r="A50" i="3"/>
  <c r="A49" i="3"/>
  <c r="A48" i="3"/>
  <c r="A47" i="3"/>
  <c r="A45" i="3"/>
  <c r="A44" i="3"/>
  <c r="A43" i="3"/>
  <c r="A42" i="3"/>
  <c r="A41" i="3"/>
  <c r="A40" i="3"/>
  <c r="A38" i="3"/>
  <c r="A37" i="3"/>
  <c r="A36" i="3"/>
  <c r="A35" i="3"/>
  <c r="A34" i="3"/>
  <c r="A33" i="3"/>
  <c r="A31" i="3"/>
  <c r="A30" i="3"/>
  <c r="A29" i="3"/>
  <c r="A28" i="3"/>
  <c r="A27" i="3"/>
  <c r="A26" i="3"/>
  <c r="A24" i="3"/>
  <c r="A23" i="3"/>
  <c r="A22" i="3"/>
  <c r="A21" i="3"/>
  <c r="A20" i="3"/>
  <c r="A19" i="3"/>
  <c r="A17" i="3"/>
  <c r="A16" i="3"/>
  <c r="A15" i="3"/>
  <c r="A14" i="3"/>
  <c r="A13" i="3"/>
  <c r="A12" i="3"/>
  <c r="A10" i="3"/>
  <c r="A9" i="3"/>
  <c r="A8" i="3"/>
  <c r="A7" i="3"/>
  <c r="A6" i="3"/>
  <c r="A5" i="3"/>
</calcChain>
</file>

<file path=xl/sharedStrings.xml><?xml version="1.0" encoding="utf-8"?>
<sst xmlns="http://schemas.openxmlformats.org/spreadsheetml/2006/main" count="350" uniqueCount="90">
  <si>
    <t>Model</t>
  </si>
  <si>
    <t>Parametry</t>
  </si>
  <si>
    <t>Velikost</t>
  </si>
  <si>
    <t>Llama 3.2 Instruct</t>
  </si>
  <si>
    <t>1B</t>
  </si>
  <si>
    <t>1.23GB</t>
  </si>
  <si>
    <t>Gemma 3 4B</t>
  </si>
  <si>
    <t>4B</t>
  </si>
  <si>
    <t>3.11GB</t>
  </si>
  <si>
    <t>Gemma 4 E2B</t>
  </si>
  <si>
    <t>4.6B</t>
  </si>
  <si>
    <t>4.11GB</t>
  </si>
  <si>
    <t>Qwen3 8B</t>
  </si>
  <si>
    <t xml:space="preserve">8B </t>
  </si>
  <si>
    <t>4.68GB</t>
  </si>
  <si>
    <t>Gemma 4 E4B</t>
  </si>
  <si>
    <t>7.5B</t>
  </si>
  <si>
    <t>5.89GB</t>
  </si>
  <si>
    <t>Qwen3.5 9B</t>
  </si>
  <si>
    <t>9B</t>
  </si>
  <si>
    <t>6.10GB</t>
  </si>
  <si>
    <t>Glm 4.6v Flash</t>
  </si>
  <si>
    <t>9.4B</t>
  </si>
  <si>
    <t>7.41GB</t>
  </si>
  <si>
    <t>Qwen2.5 14B Instruct</t>
  </si>
  <si>
    <t>14B</t>
  </si>
  <si>
    <t>8.37GB</t>
  </si>
  <si>
    <t>Ministral 3 14B Reasoning</t>
  </si>
  <si>
    <t>8.49GB</t>
  </si>
  <si>
    <t>GPT-OSS 20B</t>
  </si>
  <si>
    <t>20B</t>
  </si>
  <si>
    <t>11.28GB</t>
  </si>
  <si>
    <t>Gemma 3 27B</t>
  </si>
  <si>
    <t>27B</t>
  </si>
  <si>
    <t>15.3GB</t>
  </si>
  <si>
    <t>Gemma 4 26B A4B</t>
  </si>
  <si>
    <t>26B-A4B</t>
  </si>
  <si>
    <t>16.76GB</t>
  </si>
  <si>
    <t>Qwen3 Coder 30B</t>
  </si>
  <si>
    <t>30B-A3B</t>
  </si>
  <si>
    <t>17.35GB</t>
  </si>
  <si>
    <t>Qwen3.5 35B A3B</t>
  </si>
  <si>
    <t>35B-A3B</t>
  </si>
  <si>
    <t>20.56GB</t>
  </si>
  <si>
    <t>Llama 2 70B Chat</t>
  </si>
  <si>
    <t>70B</t>
  </si>
  <si>
    <t>38.58GB</t>
  </si>
  <si>
    <t>Qwen3 Coder Next</t>
  </si>
  <si>
    <t>80B</t>
  </si>
  <si>
    <t>45.16GB</t>
  </si>
  <si>
    <t>GPT-OSS 120B</t>
  </si>
  <si>
    <t>120B</t>
  </si>
  <si>
    <t>59.03GB</t>
  </si>
  <si>
    <t>PC Specs</t>
  </si>
  <si>
    <t>GPU</t>
  </si>
  <si>
    <t>Nvidia RTX 4080</t>
  </si>
  <si>
    <t>16GB Vram</t>
  </si>
  <si>
    <t>GPU:</t>
  </si>
  <si>
    <t>RAM:</t>
  </si>
  <si>
    <t>Nevim</t>
  </si>
  <si>
    <t>až 64GB</t>
  </si>
  <si>
    <t>CPU:</t>
  </si>
  <si>
    <t>AMD Ryzen 9 7950X</t>
  </si>
  <si>
    <t>16-Core 32-Thread 4.5 GHz</t>
  </si>
  <si>
    <t>Runner:</t>
  </si>
  <si>
    <t>LM Studio</t>
  </si>
  <si>
    <t>Prompty jsou ze souboru Prompts.md vždy je sada a větší obtížnosti</t>
  </si>
  <si>
    <t>Programování</t>
  </si>
  <si>
    <t>Sumarizace</t>
  </si>
  <si>
    <t>Kontext</t>
  </si>
  <si>
    <t>Název</t>
  </si>
  <si>
    <t>Tok / Sec</t>
  </si>
  <si>
    <t>Čas</t>
  </si>
  <si>
    <t>Úspěšnost</t>
  </si>
  <si>
    <t>Základ</t>
  </si>
  <si>
    <t>X</t>
  </si>
  <si>
    <t>MAX</t>
  </si>
  <si>
    <t>16 GB</t>
  </si>
  <si>
    <t>64 GB</t>
  </si>
  <si>
    <t>Total</t>
  </si>
  <si>
    <t>Max Kontext</t>
  </si>
  <si>
    <t>Detaily</t>
  </si>
  <si>
    <t>Čeština</t>
  </si>
  <si>
    <t>Dodržení zadání</t>
  </si>
  <si>
    <t>Tool-Calling</t>
  </si>
  <si>
    <t>281,77</t>
  </si>
  <si>
    <t>0,25</t>
  </si>
  <si>
    <t>299,69</t>
  </si>
  <si>
    <t>0,18</t>
  </si>
  <si>
    <t>337,96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</si>
</sst>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2" formatCode="#&quot;K&quot;"/>
    <numFmt numFmtId="173" formatCode="#.##&quot; GB&quot;"/>
    <numFmt numFmtId="181" formatCode="#,###&quot; Tk&quot;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thick">
        <color auto="1"/>
      </bottom>
      <diagonal/>
    </border>
    <border>
      <left style="medium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5" borderId="0" applyNumberFormat="0" applyBorder="0" applyAlignment="0" applyProtection="0"/>
    <xf numFmtId="0" fontId="1" fillId="6" borderId="0" applyNumberFormat="0" applyBorder="0" applyAlignment="0" applyProtection="0"/>
    <xf numFmtId="0" fontId="2" fillId="7" borderId="0" applyNumberFormat="0" applyBorder="0" applyAlignment="0" applyProtection="0"/>
    <xf numFmtId="0" fontId="1" fillId="8" borderId="0" applyNumberFormat="0" applyBorder="0" applyAlignment="0" applyProtection="0"/>
    <xf numFmtId="0" fontId="2" fillId="9" borderId="0" applyNumberFormat="0" applyBorder="0" applyAlignment="0" applyProtection="0"/>
    <xf numFmtId="0" fontId="1" fillId="10" borderId="0" applyNumberFormat="0" applyBorder="0" applyAlignment="0" applyProtection="0"/>
    <xf numFmtId="0" fontId="2" fillId="11" borderId="0" applyNumberFormat="0" applyBorder="0" applyAlignment="0" applyProtection="0"/>
    <xf numFmtId="0" fontId="1" fillId="12" borderId="0" applyNumberFormat="0" applyBorder="0" applyAlignment="0" applyProtection="0"/>
  </cellStyleXfs>
  <cellXfs count="75">
    <xf numFmtId="0" fontId="0" fillId="0" borderId="0" xfId="0"/>
    <xf numFmtId="0" fontId="1" fillId="12" borderId="2" xfId="11" applyBorder="1"/>
    <xf numFmtId="0" fontId="1" fillId="12" borderId="4" xfId="11" applyBorder="1"/>
    <xf numFmtId="0" fontId="2" fillId="11" borderId="7" xfId="10" applyBorder="1"/>
    <xf numFmtId="0" fontId="2" fillId="9" borderId="7" xfId="8" applyBorder="1"/>
    <xf numFmtId="0" fontId="1" fillId="10" borderId="0" xfId="9" applyBorder="1"/>
    <xf numFmtId="0" fontId="1" fillId="10" borderId="5" xfId="9" applyBorder="1"/>
    <xf numFmtId="0" fontId="2" fillId="2" borderId="9" xfId="1" applyBorder="1" applyAlignment="1">
      <alignment horizontal="center"/>
    </xf>
    <xf numFmtId="0" fontId="2" fillId="2" borderId="10" xfId="1" applyBorder="1" applyAlignment="1">
      <alignment horizontal="center"/>
    </xf>
    <xf numFmtId="0" fontId="2" fillId="2" borderId="11" xfId="1" applyBorder="1" applyAlignment="1">
      <alignment horizontal="center"/>
    </xf>
    <xf numFmtId="0" fontId="1" fillId="12" borderId="10" xfId="11" applyBorder="1"/>
    <xf numFmtId="0" fontId="1" fillId="12" borderId="11" xfId="11" applyBorder="1"/>
    <xf numFmtId="0" fontId="2" fillId="11" borderId="8" xfId="10" applyBorder="1"/>
    <xf numFmtId="0" fontId="2" fillId="3" borderId="0" xfId="2" applyAlignment="1">
      <alignment horizontal="center" vertical="center" wrapText="1"/>
    </xf>
    <xf numFmtId="0" fontId="1" fillId="8" borderId="0" xfId="7" applyBorder="1"/>
    <xf numFmtId="0" fontId="1" fillId="8" borderId="1" xfId="7" applyBorder="1"/>
    <xf numFmtId="0" fontId="1" fillId="6" borderId="15" xfId="5" applyBorder="1"/>
    <xf numFmtId="0" fontId="1" fillId="6" borderId="13" xfId="5" applyBorder="1"/>
    <xf numFmtId="0" fontId="1" fillId="6" borderId="19" xfId="5" applyBorder="1"/>
    <xf numFmtId="173" fontId="1" fillId="6" borderId="16" xfId="5" applyNumberFormat="1" applyBorder="1" applyAlignment="1">
      <alignment horizontal="center" vertical="center"/>
    </xf>
    <xf numFmtId="173" fontId="1" fillId="6" borderId="17" xfId="5" applyNumberFormat="1" applyBorder="1" applyAlignment="1">
      <alignment horizontal="center" vertical="center"/>
    </xf>
    <xf numFmtId="173" fontId="1" fillId="6" borderId="1" xfId="5" applyNumberFormat="1" applyBorder="1" applyAlignment="1">
      <alignment horizontal="center" vertical="center"/>
    </xf>
    <xf numFmtId="173" fontId="1" fillId="6" borderId="18" xfId="5" applyNumberFormat="1" applyBorder="1" applyAlignment="1">
      <alignment horizontal="center" vertical="center"/>
    </xf>
    <xf numFmtId="173" fontId="1" fillId="6" borderId="21" xfId="5" applyNumberFormat="1" applyBorder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2" fontId="1" fillId="6" borderId="16" xfId="5" applyNumberFormat="1" applyBorder="1" applyAlignment="1">
      <alignment horizontal="center" vertical="center"/>
    </xf>
    <xf numFmtId="172" fontId="1" fillId="6" borderId="1" xfId="5" applyNumberFormat="1" applyBorder="1" applyAlignment="1">
      <alignment horizontal="center" vertical="center"/>
    </xf>
    <xf numFmtId="172" fontId="1" fillId="6" borderId="20" xfId="5" applyNumberFormat="1" applyBorder="1" applyAlignment="1">
      <alignment horizontal="center" vertical="center"/>
    </xf>
    <xf numFmtId="0" fontId="2" fillId="11" borderId="14" xfId="10" applyBorder="1" applyAlignment="1">
      <alignment horizontal="center" vertical="center"/>
    </xf>
    <xf numFmtId="0" fontId="2" fillId="11" borderId="28" xfId="10" applyBorder="1" applyAlignment="1">
      <alignment horizontal="center" vertical="center"/>
    </xf>
    <xf numFmtId="0" fontId="2" fillId="9" borderId="27" xfId="8" applyBorder="1" applyAlignment="1">
      <alignment horizontal="center" vertical="center"/>
    </xf>
    <xf numFmtId="0" fontId="2" fillId="7" borderId="14" xfId="6" applyBorder="1" applyAlignment="1">
      <alignment horizontal="center" vertical="center"/>
    </xf>
    <xf numFmtId="0" fontId="2" fillId="5" borderId="22" xfId="4" applyBorder="1" applyAlignment="1">
      <alignment horizontal="center" vertical="center"/>
    </xf>
    <xf numFmtId="0" fontId="2" fillId="5" borderId="23" xfId="4" applyBorder="1" applyAlignment="1">
      <alignment horizontal="center" vertical="center"/>
    </xf>
    <xf numFmtId="0" fontId="2" fillId="5" borderId="24" xfId="4" applyBorder="1" applyAlignment="1">
      <alignment horizontal="center" vertical="center"/>
    </xf>
    <xf numFmtId="0" fontId="2" fillId="5" borderId="25" xfId="4" applyBorder="1" applyAlignment="1">
      <alignment horizontal="center" vertical="center"/>
    </xf>
    <xf numFmtId="0" fontId="2" fillId="5" borderId="8" xfId="4" applyBorder="1" applyAlignment="1">
      <alignment horizontal="center" vertical="center"/>
    </xf>
    <xf numFmtId="0" fontId="2" fillId="5" borderId="26" xfId="4" applyBorder="1" applyAlignment="1">
      <alignment horizontal="center" vertical="center"/>
    </xf>
    <xf numFmtId="0" fontId="1" fillId="10" borderId="15" xfId="9" applyBorder="1"/>
    <xf numFmtId="0" fontId="1" fillId="8" borderId="16" xfId="7" applyBorder="1"/>
    <xf numFmtId="0" fontId="1" fillId="12" borderId="17" xfId="11" applyBorder="1"/>
    <xf numFmtId="0" fontId="1" fillId="10" borderId="13" xfId="9" applyBorder="1"/>
    <xf numFmtId="0" fontId="1" fillId="12" borderId="18" xfId="11" applyBorder="1"/>
    <xf numFmtId="0" fontId="1" fillId="10" borderId="19" xfId="9" applyBorder="1"/>
    <xf numFmtId="0" fontId="1" fillId="8" borderId="20" xfId="7" applyBorder="1"/>
    <xf numFmtId="0" fontId="1" fillId="12" borderId="21" xfId="11" applyBorder="1"/>
    <xf numFmtId="0" fontId="0" fillId="0" borderId="0" xfId="0" applyAlignment="1">
      <alignment vertical="center"/>
    </xf>
    <xf numFmtId="173" fontId="1" fillId="6" borderId="32" xfId="5" applyNumberFormat="1" applyBorder="1" applyAlignment="1">
      <alignment horizontal="center" vertical="center"/>
    </xf>
    <xf numFmtId="173" fontId="1" fillId="6" borderId="12" xfId="5" applyNumberFormat="1" applyBorder="1" applyAlignment="1">
      <alignment horizontal="center" vertical="center"/>
    </xf>
    <xf numFmtId="173" fontId="1" fillId="0" borderId="10" xfId="5" applyNumberFormat="1" applyFill="1" applyBorder="1" applyAlignment="1">
      <alignment horizontal="center" vertical="center"/>
    </xf>
    <xf numFmtId="0" fontId="1" fillId="8" borderId="5" xfId="7" applyBorder="1"/>
    <xf numFmtId="0" fontId="2" fillId="7" borderId="29" xfId="6" applyBorder="1"/>
    <xf numFmtId="0" fontId="2" fillId="3" borderId="8" xfId="2" applyBorder="1"/>
    <xf numFmtId="181" fontId="1" fillId="4" borderId="3" xfId="3" applyNumberFormat="1" applyBorder="1"/>
    <xf numFmtId="181" fontId="1" fillId="4" borderId="6" xfId="3" applyNumberFormat="1" applyBorder="1"/>
    <xf numFmtId="49" fontId="2" fillId="5" borderId="22" xfId="4" applyNumberFormat="1" applyBorder="1" applyAlignment="1">
      <alignment horizontal="center" vertical="center"/>
    </xf>
    <xf numFmtId="49" fontId="2" fillId="5" borderId="23" xfId="4" applyNumberFormat="1" applyBorder="1" applyAlignment="1">
      <alignment horizontal="center" vertical="center"/>
    </xf>
    <xf numFmtId="49" fontId="2" fillId="5" borderId="25" xfId="4" applyNumberFormat="1" applyBorder="1" applyAlignment="1">
      <alignment horizontal="center" vertical="center"/>
    </xf>
    <xf numFmtId="49" fontId="2" fillId="5" borderId="8" xfId="4" applyNumberFormat="1" applyBorder="1" applyAlignment="1">
      <alignment horizontal="center" vertical="center"/>
    </xf>
    <xf numFmtId="49" fontId="2" fillId="9" borderId="27" xfId="8" applyNumberFormat="1" applyBorder="1" applyAlignment="1">
      <alignment horizontal="center" vertical="center"/>
    </xf>
    <xf numFmtId="49" fontId="2" fillId="7" borderId="14" xfId="6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1" fillId="10" borderId="15" xfId="9" applyNumberFormat="1" applyBorder="1" applyAlignment="1">
      <alignment horizontal="center" vertical="center"/>
    </xf>
    <xf numFmtId="49" fontId="1" fillId="8" borderId="16" xfId="7" applyNumberFormat="1" applyBorder="1" applyAlignment="1">
      <alignment horizontal="center" vertical="center"/>
    </xf>
    <xf numFmtId="49" fontId="1" fillId="10" borderId="13" xfId="9" applyNumberFormat="1" applyBorder="1" applyAlignment="1">
      <alignment horizontal="center" vertical="center"/>
    </xf>
    <xf numFmtId="49" fontId="1" fillId="8" borderId="1" xfId="7" applyNumberFormat="1" applyBorder="1" applyAlignment="1">
      <alignment horizontal="center" vertical="center"/>
    </xf>
    <xf numFmtId="49" fontId="1" fillId="10" borderId="19" xfId="9" applyNumberFormat="1" applyBorder="1" applyAlignment="1">
      <alignment horizontal="center" vertical="center"/>
    </xf>
    <xf numFmtId="49" fontId="1" fillId="8" borderId="20" xfId="7" applyNumberFormat="1" applyBorder="1" applyAlignment="1">
      <alignment horizontal="center" vertical="center"/>
    </xf>
  </cellXfs>
  <cellStyles count="12">
    <cellStyle name="60 % – Zvýraznění 2" xfId="3" builtinId="36"/>
    <cellStyle name="60 % – Zvýraznění 3" xfId="5" builtinId="40"/>
    <cellStyle name="60 % – Zvýraznění 4" xfId="7" builtinId="44"/>
    <cellStyle name="60 % – Zvýraznění 5" xfId="9" builtinId="48"/>
    <cellStyle name="60 % – Zvýraznění 6" xfId="11" builtinId="52"/>
    <cellStyle name="Normální" xfId="0" builtinId="0"/>
    <cellStyle name="Zvýraznění 1" xfId="1" builtinId="29"/>
    <cellStyle name="Zvýraznění 2" xfId="2" builtinId="33"/>
    <cellStyle name="Zvýraznění 3" xfId="4" builtinId="37"/>
    <cellStyle name="Zvýraznění 4" xfId="6" builtinId="41"/>
    <cellStyle name="Zvýraznění 5" xfId="8" builtinId="45"/>
    <cellStyle name="Zvýraznění 6" xfId="10" builtinId="4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19"/>
  <sheetViews>
    <sheetView zoomScale="190" zoomScaleNormal="190" workbookViewId="0">
      <selection activeCell="E2" sqref="E2"/>
    </sheetView>
  </sheetViews>
  <sheetFormatPr defaultRowHeight="15" x14ac:dyDescent="0.25"/>
  <cols>
    <col min="2" max="2" width="23.85546875" bestFit="1" customWidth="1"/>
    <col min="3" max="3" width="10.140625" bestFit="1" customWidth="1"/>
    <col min="4" max="4" width="9.42578125" customWidth="1"/>
    <col min="5" max="5" width="12.140625" bestFit="1" customWidth="1"/>
    <col min="8" max="8" width="18.28515625" bestFit="1" customWidth="1"/>
    <col min="9" max="9" width="24.42578125" bestFit="1" customWidth="1"/>
  </cols>
  <sheetData>
    <row r="1" spans="2:9" ht="15.75" thickBot="1" x14ac:dyDescent="0.3"/>
    <row r="2" spans="2:9" ht="16.5" thickTop="1" thickBot="1" x14ac:dyDescent="0.3">
      <c r="B2" s="3" t="s">
        <v>0</v>
      </c>
      <c r="C2" s="4" t="s">
        <v>1</v>
      </c>
      <c r="D2" s="58" t="s">
        <v>2</v>
      </c>
      <c r="E2" s="59" t="s">
        <v>80</v>
      </c>
      <c r="G2" s="7" t="s">
        <v>53</v>
      </c>
      <c r="H2" s="8"/>
      <c r="I2" s="9"/>
    </row>
    <row r="3" spans="2:9" ht="16.5" thickTop="1" thickBot="1" x14ac:dyDescent="0.3">
      <c r="B3" s="1" t="s">
        <v>3</v>
      </c>
      <c r="C3" s="5" t="s">
        <v>4</v>
      </c>
      <c r="D3" s="14" t="s">
        <v>5</v>
      </c>
      <c r="E3" s="60">
        <v>131072</v>
      </c>
      <c r="G3" s="12" t="s">
        <v>57</v>
      </c>
      <c r="H3" s="10" t="s">
        <v>55</v>
      </c>
      <c r="I3" s="11" t="s">
        <v>56</v>
      </c>
    </row>
    <row r="4" spans="2:9" ht="15.75" thickBot="1" x14ac:dyDescent="0.3">
      <c r="B4" s="1" t="s">
        <v>6</v>
      </c>
      <c r="C4" s="5" t="s">
        <v>7</v>
      </c>
      <c r="D4" s="14" t="s">
        <v>8</v>
      </c>
      <c r="E4" s="60">
        <v>131072</v>
      </c>
      <c r="G4" s="12" t="s">
        <v>58</v>
      </c>
      <c r="H4" s="10" t="s">
        <v>59</v>
      </c>
      <c r="I4" s="11" t="s">
        <v>60</v>
      </c>
    </row>
    <row r="5" spans="2:9" ht="15.75" thickBot="1" x14ac:dyDescent="0.3">
      <c r="B5" s="1" t="s">
        <v>9</v>
      </c>
      <c r="C5" s="5" t="s">
        <v>10</v>
      </c>
      <c r="D5" s="14" t="s">
        <v>11</v>
      </c>
      <c r="E5" s="60">
        <v>131072</v>
      </c>
      <c r="G5" s="12" t="s">
        <v>61</v>
      </c>
      <c r="H5" s="10" t="s">
        <v>62</v>
      </c>
      <c r="I5" s="11" t="s">
        <v>63</v>
      </c>
    </row>
    <row r="6" spans="2:9" ht="15.75" thickBot="1" x14ac:dyDescent="0.3">
      <c r="B6" s="1" t="s">
        <v>12</v>
      </c>
      <c r="C6" s="5" t="s">
        <v>13</v>
      </c>
      <c r="D6" s="14" t="s">
        <v>14</v>
      </c>
      <c r="E6" s="60">
        <v>32768</v>
      </c>
      <c r="G6" s="12" t="s">
        <v>64</v>
      </c>
      <c r="H6" s="10" t="s">
        <v>65</v>
      </c>
      <c r="I6" s="11"/>
    </row>
    <row r="7" spans="2:9" x14ac:dyDescent="0.25">
      <c r="B7" s="1" t="s">
        <v>15</v>
      </c>
      <c r="C7" s="5" t="s">
        <v>16</v>
      </c>
      <c r="D7" s="14" t="s">
        <v>17</v>
      </c>
      <c r="E7" s="60">
        <v>131072</v>
      </c>
    </row>
    <row r="8" spans="2:9" x14ac:dyDescent="0.25">
      <c r="B8" s="1" t="s">
        <v>18</v>
      </c>
      <c r="C8" s="5" t="s">
        <v>19</v>
      </c>
      <c r="D8" s="14" t="s">
        <v>20</v>
      </c>
      <c r="E8" s="60">
        <v>262144</v>
      </c>
    </row>
    <row r="9" spans="2:9" x14ac:dyDescent="0.25">
      <c r="B9" s="1" t="s">
        <v>21</v>
      </c>
      <c r="C9" s="5" t="s">
        <v>22</v>
      </c>
      <c r="D9" s="14" t="s">
        <v>23</v>
      </c>
      <c r="E9" s="60">
        <v>131072</v>
      </c>
      <c r="G9" s="13" t="s">
        <v>66</v>
      </c>
      <c r="H9" s="13"/>
      <c r="I9" s="13"/>
    </row>
    <row r="10" spans="2:9" x14ac:dyDescent="0.25">
      <c r="B10" s="1" t="s">
        <v>24</v>
      </c>
      <c r="C10" s="5" t="s">
        <v>25</v>
      </c>
      <c r="D10" s="14" t="s">
        <v>26</v>
      </c>
      <c r="E10" s="60">
        <v>32768</v>
      </c>
      <c r="G10" s="13"/>
      <c r="H10" s="13"/>
      <c r="I10" s="13"/>
    </row>
    <row r="11" spans="2:9" x14ac:dyDescent="0.25">
      <c r="B11" s="1" t="s">
        <v>27</v>
      </c>
      <c r="C11" s="5" t="s">
        <v>25</v>
      </c>
      <c r="D11" s="14" t="s">
        <v>28</v>
      </c>
      <c r="E11" s="60">
        <v>262144</v>
      </c>
      <c r="G11" s="13"/>
      <c r="H11" s="13"/>
      <c r="I11" s="13"/>
    </row>
    <row r="12" spans="2:9" x14ac:dyDescent="0.25">
      <c r="B12" s="1" t="s">
        <v>29</v>
      </c>
      <c r="C12" s="5" t="s">
        <v>30</v>
      </c>
      <c r="D12" s="14" t="s">
        <v>31</v>
      </c>
      <c r="E12" s="60">
        <v>131072</v>
      </c>
      <c r="G12" s="13"/>
      <c r="H12" s="13"/>
      <c r="I12" s="13"/>
    </row>
    <row r="13" spans="2:9" x14ac:dyDescent="0.25">
      <c r="B13" s="1" t="s">
        <v>32</v>
      </c>
      <c r="C13" s="5" t="s">
        <v>33</v>
      </c>
      <c r="D13" s="14" t="s">
        <v>34</v>
      </c>
      <c r="E13" s="60">
        <v>131072</v>
      </c>
    </row>
    <row r="14" spans="2:9" x14ac:dyDescent="0.25">
      <c r="B14" s="1" t="s">
        <v>35</v>
      </c>
      <c r="C14" s="5" t="s">
        <v>36</v>
      </c>
      <c r="D14" s="14" t="s">
        <v>37</v>
      </c>
      <c r="E14" s="60">
        <v>262144</v>
      </c>
    </row>
    <row r="15" spans="2:9" x14ac:dyDescent="0.25">
      <c r="B15" s="1" t="s">
        <v>38</v>
      </c>
      <c r="C15" s="5" t="s">
        <v>39</v>
      </c>
      <c r="D15" s="14" t="s">
        <v>40</v>
      </c>
      <c r="E15" s="60">
        <v>262144</v>
      </c>
    </row>
    <row r="16" spans="2:9" x14ac:dyDescent="0.25">
      <c r="B16" s="1" t="s">
        <v>41</v>
      </c>
      <c r="C16" s="5" t="s">
        <v>42</v>
      </c>
      <c r="D16" s="14" t="s">
        <v>43</v>
      </c>
      <c r="E16" s="60">
        <v>262144</v>
      </c>
    </row>
    <row r="17" spans="2:5" x14ac:dyDescent="0.25">
      <c r="B17" s="1" t="s">
        <v>44</v>
      </c>
      <c r="C17" s="5" t="s">
        <v>45</v>
      </c>
      <c r="D17" s="14" t="s">
        <v>46</v>
      </c>
      <c r="E17" s="60">
        <v>4096</v>
      </c>
    </row>
    <row r="18" spans="2:5" x14ac:dyDescent="0.25">
      <c r="B18" s="1" t="s">
        <v>47</v>
      </c>
      <c r="C18" s="5" t="s">
        <v>48</v>
      </c>
      <c r="D18" s="14" t="s">
        <v>49</v>
      </c>
      <c r="E18" s="60">
        <v>262144</v>
      </c>
    </row>
    <row r="19" spans="2:5" x14ac:dyDescent="0.25">
      <c r="B19" s="2" t="s">
        <v>50</v>
      </c>
      <c r="C19" s="6" t="s">
        <v>51</v>
      </c>
      <c r="D19" s="57" t="s">
        <v>52</v>
      </c>
      <c r="E19" s="61">
        <v>131072</v>
      </c>
    </row>
  </sheetData>
  <mergeCells count="2">
    <mergeCell ref="G2:I2"/>
    <mergeCell ref="G9:I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F91F-422A-4713-8B76-220A0F71EC08}">
  <dimension ref="A1:V122"/>
  <sheetViews>
    <sheetView tabSelected="1" zoomScale="190" zoomScaleNormal="190" workbookViewId="0">
      <selection activeCell="W3" sqref="W1:W1048576"/>
    </sheetView>
  </sheetViews>
  <sheetFormatPr defaultRowHeight="15" x14ac:dyDescent="0.25"/>
  <cols>
    <col min="1" max="1" width="23.85546875" bestFit="1" customWidth="1"/>
    <col min="2" max="2" width="8" bestFit="1" customWidth="1"/>
    <col min="3" max="4" width="8.5703125" bestFit="1" customWidth="1"/>
    <col min="5" max="5" width="0.7109375" customWidth="1"/>
    <col min="6" max="6" width="8.85546875" style="68" bestFit="1" customWidth="1"/>
    <col min="7" max="7" width="5.140625" style="68" bestFit="1" customWidth="1"/>
    <col min="8" max="8" width="8.85546875" style="68" bestFit="1" customWidth="1"/>
    <col min="9" max="9" width="4" style="68" bestFit="1" customWidth="1"/>
    <col min="10" max="10" width="8.85546875" style="68" bestFit="1" customWidth="1"/>
    <col min="11" max="11" width="4" style="68" bestFit="1" customWidth="1"/>
    <col min="12" max="12" width="8.85546875" style="68" bestFit="1" customWidth="1"/>
    <col min="13" max="13" width="4" style="68" bestFit="1" customWidth="1"/>
    <col min="14" max="14" width="0.7109375" style="68" customWidth="1"/>
    <col min="15" max="15" width="7.5703125" style="68" bestFit="1" customWidth="1"/>
    <col min="16" max="16" width="15" style="68" bestFit="1" customWidth="1"/>
    <col min="17" max="17" width="7.5703125" style="68" bestFit="1" customWidth="1"/>
    <col min="18" max="18" width="15" style="68" bestFit="1" customWidth="1"/>
    <col min="19" max="19" width="7.5703125" style="68" bestFit="1" customWidth="1"/>
    <col min="20" max="20" width="15" style="68" bestFit="1" customWidth="1"/>
    <col min="21" max="21" width="7.5703125" style="68" bestFit="1" customWidth="1"/>
    <col min="22" max="22" width="15" style="68" bestFit="1" customWidth="1"/>
  </cols>
  <sheetData>
    <row r="1" spans="1:22" ht="16.5" thickTop="1" thickBot="1" x14ac:dyDescent="0.3">
      <c r="A1" s="53"/>
      <c r="B1" s="53"/>
      <c r="C1" s="25" t="s">
        <v>76</v>
      </c>
      <c r="D1" s="25"/>
      <c r="E1" s="53"/>
      <c r="F1" s="62" t="s">
        <v>74</v>
      </c>
      <c r="G1" s="63"/>
      <c r="H1" s="63"/>
      <c r="I1" s="63"/>
      <c r="J1" s="63"/>
      <c r="K1" s="63"/>
      <c r="L1" s="63"/>
      <c r="M1" s="63"/>
      <c r="O1" s="62" t="s">
        <v>81</v>
      </c>
      <c r="P1" s="63"/>
      <c r="Q1" s="63"/>
      <c r="R1" s="63"/>
      <c r="S1" s="63"/>
      <c r="T1" s="63"/>
      <c r="U1" s="63"/>
      <c r="V1" s="63"/>
    </row>
    <row r="2" spans="1:22" ht="15.75" thickBot="1" x14ac:dyDescent="0.3">
      <c r="A2" s="53"/>
      <c r="B2" s="53"/>
      <c r="C2" s="53" t="s">
        <v>77</v>
      </c>
      <c r="D2" s="53" t="s">
        <v>78</v>
      </c>
      <c r="E2" s="53"/>
      <c r="F2" s="64">
        <v>1</v>
      </c>
      <c r="G2" s="65"/>
      <c r="H2" s="65">
        <v>2</v>
      </c>
      <c r="I2" s="65"/>
      <c r="J2" s="65">
        <v>3</v>
      </c>
      <c r="K2" s="65"/>
      <c r="L2" s="65">
        <v>4</v>
      </c>
      <c r="M2" s="65"/>
      <c r="O2" s="64">
        <v>1</v>
      </c>
      <c r="P2" s="65"/>
      <c r="Q2" s="65">
        <v>2</v>
      </c>
      <c r="R2" s="65"/>
      <c r="S2" s="65">
        <v>3</v>
      </c>
      <c r="T2" s="65"/>
      <c r="U2" s="65">
        <v>4</v>
      </c>
      <c r="V2" s="65"/>
    </row>
    <row r="3" spans="1:22" ht="16.5" thickTop="1" thickBot="1" x14ac:dyDescent="0.3">
      <c r="A3" s="26" t="s">
        <v>70</v>
      </c>
      <c r="B3" s="27" t="s">
        <v>69</v>
      </c>
      <c r="C3" s="27" t="s">
        <v>54</v>
      </c>
      <c r="D3" s="28" t="s">
        <v>79</v>
      </c>
      <c r="E3" s="29"/>
      <c r="F3" s="66" t="s">
        <v>71</v>
      </c>
      <c r="G3" s="67" t="s">
        <v>72</v>
      </c>
      <c r="H3" s="66" t="s">
        <v>71</v>
      </c>
      <c r="I3" s="67" t="s">
        <v>72</v>
      </c>
      <c r="J3" s="66" t="s">
        <v>71</v>
      </c>
      <c r="K3" s="67" t="s">
        <v>72</v>
      </c>
      <c r="L3" s="66" t="s">
        <v>71</v>
      </c>
      <c r="M3" s="67" t="s">
        <v>72</v>
      </c>
      <c r="O3" s="66" t="s">
        <v>82</v>
      </c>
      <c r="P3" s="67" t="s">
        <v>83</v>
      </c>
      <c r="Q3" s="66" t="s">
        <v>82</v>
      </c>
      <c r="R3" s="67" t="s">
        <v>83</v>
      </c>
      <c r="S3" s="66" t="s">
        <v>82</v>
      </c>
      <c r="T3" s="67" t="s">
        <v>83</v>
      </c>
      <c r="U3" s="66" t="s">
        <v>82</v>
      </c>
      <c r="V3" s="67" t="s">
        <v>83</v>
      </c>
    </row>
    <row r="4" spans="1:22" ht="3.75" customHeight="1" thickTop="1" thickBot="1" x14ac:dyDescent="0.3"/>
    <row r="5" spans="1:22" x14ac:dyDescent="0.25">
      <c r="A5" s="16" t="str">
        <f>Info!B3</f>
        <v>Llama 3.2 Instruct</v>
      </c>
      <c r="B5" s="32">
        <v>4</v>
      </c>
      <c r="C5" s="21">
        <f t="shared" ref="C5:C18" si="0">IF(D5 &lt;= 16,D5,16)</f>
        <v>1.36</v>
      </c>
      <c r="D5" s="19">
        <v>1.36</v>
      </c>
      <c r="F5" s="69">
        <v>337.99</v>
      </c>
      <c r="G5" s="70">
        <v>0.02</v>
      </c>
      <c r="H5" s="69" t="s">
        <v>85</v>
      </c>
      <c r="I5" s="70" t="s">
        <v>86</v>
      </c>
      <c r="J5" s="69" t="s">
        <v>87</v>
      </c>
      <c r="K5" s="70" t="s">
        <v>88</v>
      </c>
      <c r="L5" s="69" t="s">
        <v>89</v>
      </c>
      <c r="M5" s="70" t="s">
        <v>86</v>
      </c>
      <c r="O5" s="69"/>
      <c r="P5" s="70"/>
      <c r="Q5" s="69"/>
      <c r="R5" s="70"/>
      <c r="S5" s="69"/>
      <c r="T5" s="70"/>
      <c r="U5" s="69"/>
      <c r="V5" s="70"/>
    </row>
    <row r="6" spans="1:22" x14ac:dyDescent="0.25">
      <c r="A6" s="17" t="str">
        <f>Info!$B$3</f>
        <v>Llama 3.2 Instruct</v>
      </c>
      <c r="B6" s="33">
        <v>8</v>
      </c>
      <c r="C6" s="21">
        <f t="shared" si="0"/>
        <v>1.42</v>
      </c>
      <c r="D6" s="21">
        <v>1.42</v>
      </c>
      <c r="F6" s="71"/>
      <c r="G6" s="72"/>
      <c r="H6" s="71"/>
      <c r="I6" s="72"/>
      <c r="J6" s="71"/>
      <c r="K6" s="72"/>
      <c r="L6" s="71"/>
      <c r="M6" s="72"/>
      <c r="O6" s="71"/>
      <c r="P6" s="72"/>
      <c r="Q6" s="71"/>
      <c r="R6" s="72"/>
      <c r="S6" s="71"/>
      <c r="T6" s="72"/>
      <c r="U6" s="71"/>
      <c r="V6" s="72"/>
    </row>
    <row r="7" spans="1:22" x14ac:dyDescent="0.25">
      <c r="A7" s="17" t="str">
        <f>Info!$B$3</f>
        <v>Llama 3.2 Instruct</v>
      </c>
      <c r="B7" s="33">
        <v>20</v>
      </c>
      <c r="C7" s="21">
        <f t="shared" si="0"/>
        <v>1.6</v>
      </c>
      <c r="D7" s="21">
        <v>1.6</v>
      </c>
      <c r="F7" s="71"/>
      <c r="G7" s="72"/>
      <c r="H7" s="71"/>
      <c r="I7" s="72"/>
      <c r="J7" s="71"/>
      <c r="K7" s="72"/>
      <c r="L7" s="71"/>
      <c r="M7" s="72"/>
      <c r="O7" s="71"/>
      <c r="P7" s="72"/>
      <c r="Q7" s="71"/>
      <c r="R7" s="72"/>
      <c r="S7" s="71"/>
      <c r="T7" s="72"/>
      <c r="U7" s="71"/>
      <c r="V7" s="72"/>
    </row>
    <row r="8" spans="1:22" x14ac:dyDescent="0.25">
      <c r="A8" s="17" t="str">
        <f>Info!$B$3</f>
        <v>Llama 3.2 Instruct</v>
      </c>
      <c r="B8" s="33">
        <v>50</v>
      </c>
      <c r="C8" s="21">
        <f t="shared" si="0"/>
        <v>2.06</v>
      </c>
      <c r="D8" s="21">
        <v>2.06</v>
      </c>
      <c r="F8" s="71"/>
      <c r="G8" s="72"/>
      <c r="H8" s="71"/>
      <c r="I8" s="72"/>
      <c r="J8" s="71"/>
      <c r="K8" s="72"/>
      <c r="L8" s="71"/>
      <c r="M8" s="72"/>
      <c r="O8" s="71"/>
      <c r="P8" s="72"/>
      <c r="Q8" s="71"/>
      <c r="R8" s="72"/>
      <c r="S8" s="71"/>
      <c r="T8" s="72"/>
      <c r="U8" s="71"/>
      <c r="V8" s="72"/>
    </row>
    <row r="9" spans="1:22" x14ac:dyDescent="0.25">
      <c r="A9" s="17" t="str">
        <f>Info!$B$3</f>
        <v>Llama 3.2 Instruct</v>
      </c>
      <c r="B9" s="33">
        <v>100</v>
      </c>
      <c r="C9" s="21">
        <f t="shared" si="0"/>
        <v>2.82</v>
      </c>
      <c r="D9" s="21">
        <v>2.82</v>
      </c>
      <c r="F9" s="71"/>
      <c r="G9" s="72"/>
      <c r="H9" s="71"/>
      <c r="I9" s="72"/>
      <c r="J9" s="71"/>
      <c r="K9" s="72"/>
      <c r="L9" s="71"/>
      <c r="M9" s="72"/>
      <c r="O9" s="71"/>
      <c r="P9" s="72"/>
      <c r="Q9" s="71"/>
      <c r="R9" s="72"/>
      <c r="S9" s="71"/>
      <c r="T9" s="72"/>
      <c r="U9" s="71"/>
      <c r="V9" s="72"/>
    </row>
    <row r="10" spans="1:22" ht="15.75" thickBot="1" x14ac:dyDescent="0.3">
      <c r="A10" s="18" t="str">
        <f>Info!$B$3</f>
        <v>Llama 3.2 Instruct</v>
      </c>
      <c r="B10" s="34">
        <v>150</v>
      </c>
      <c r="C10" s="54" t="s">
        <v>75</v>
      </c>
      <c r="D10" s="23" t="s">
        <v>75</v>
      </c>
      <c r="F10" s="73"/>
      <c r="G10" s="74"/>
      <c r="H10" s="73"/>
      <c r="I10" s="74"/>
      <c r="J10" s="73"/>
      <c r="K10" s="74"/>
      <c r="L10" s="73"/>
      <c r="M10" s="74"/>
      <c r="O10" s="73"/>
      <c r="P10" s="74"/>
      <c r="Q10" s="73"/>
      <c r="R10" s="74"/>
      <c r="S10" s="73"/>
      <c r="T10" s="74"/>
      <c r="U10" s="73"/>
      <c r="V10" s="74"/>
    </row>
    <row r="11" spans="1:22" ht="3.75" customHeight="1" thickBot="1" x14ac:dyDescent="0.3">
      <c r="B11" s="30"/>
      <c r="C11" s="56"/>
      <c r="D11" s="31"/>
    </row>
    <row r="12" spans="1:22" x14ac:dyDescent="0.25">
      <c r="A12" s="16" t="str">
        <f>Info!$B$4</f>
        <v>Gemma 3 4B</v>
      </c>
      <c r="B12" s="32">
        <v>4</v>
      </c>
      <c r="C12" s="55">
        <f t="shared" si="0"/>
        <v>3.61</v>
      </c>
      <c r="D12" s="19">
        <v>3.61</v>
      </c>
      <c r="F12" s="69"/>
      <c r="G12" s="70"/>
      <c r="H12" s="69"/>
      <c r="I12" s="70"/>
      <c r="J12" s="69"/>
      <c r="K12" s="70"/>
      <c r="L12" s="69"/>
      <c r="M12" s="70"/>
      <c r="O12" s="69"/>
      <c r="P12" s="70"/>
      <c r="Q12" s="69"/>
      <c r="R12" s="70"/>
      <c r="S12" s="69"/>
      <c r="T12" s="70"/>
      <c r="U12" s="69"/>
      <c r="V12" s="70"/>
    </row>
    <row r="13" spans="1:22" x14ac:dyDescent="0.25">
      <c r="A13" s="17" t="str">
        <f>Info!$B$4</f>
        <v>Gemma 3 4B</v>
      </c>
      <c r="B13" s="33">
        <v>8</v>
      </c>
      <c r="C13" s="21">
        <f t="shared" si="0"/>
        <v>3.92</v>
      </c>
      <c r="D13" s="21">
        <v>3.92</v>
      </c>
      <c r="F13" s="71"/>
      <c r="G13" s="72"/>
      <c r="H13" s="71"/>
      <c r="I13" s="72"/>
      <c r="J13" s="71"/>
      <c r="K13" s="72"/>
      <c r="L13" s="71"/>
      <c r="M13" s="72"/>
      <c r="O13" s="71"/>
      <c r="P13" s="72"/>
      <c r="Q13" s="71"/>
      <c r="R13" s="72"/>
      <c r="S13" s="71"/>
      <c r="T13" s="72"/>
      <c r="U13" s="71"/>
      <c r="V13" s="72"/>
    </row>
    <row r="14" spans="1:22" x14ac:dyDescent="0.25">
      <c r="A14" s="17" t="str">
        <f>Info!$B$4</f>
        <v>Gemma 3 4B</v>
      </c>
      <c r="B14" s="33">
        <v>20</v>
      </c>
      <c r="C14" s="21">
        <f t="shared" si="0"/>
        <v>4.88</v>
      </c>
      <c r="D14" s="21">
        <v>4.88</v>
      </c>
      <c r="F14" s="71"/>
      <c r="G14" s="72"/>
      <c r="H14" s="71"/>
      <c r="I14" s="72"/>
      <c r="J14" s="71"/>
      <c r="K14" s="72"/>
      <c r="L14" s="71"/>
      <c r="M14" s="72"/>
      <c r="O14" s="71"/>
      <c r="P14" s="72"/>
      <c r="Q14" s="71"/>
      <c r="R14" s="72"/>
      <c r="S14" s="71"/>
      <c r="T14" s="72"/>
      <c r="U14" s="71"/>
      <c r="V14" s="72"/>
    </row>
    <row r="15" spans="1:22" x14ac:dyDescent="0.25">
      <c r="A15" s="17" t="str">
        <f>Info!$B$4</f>
        <v>Gemma 3 4B</v>
      </c>
      <c r="B15" s="33">
        <v>50</v>
      </c>
      <c r="C15" s="21">
        <f t="shared" si="0"/>
        <v>7.27</v>
      </c>
      <c r="D15" s="21">
        <v>7.27</v>
      </c>
      <c r="F15" s="71"/>
      <c r="G15" s="72"/>
      <c r="H15" s="71"/>
      <c r="I15" s="72"/>
      <c r="J15" s="71"/>
      <c r="K15" s="72"/>
      <c r="L15" s="71"/>
      <c r="M15" s="72"/>
      <c r="O15" s="71"/>
      <c r="P15" s="72"/>
      <c r="Q15" s="71"/>
      <c r="R15" s="72"/>
      <c r="S15" s="71"/>
      <c r="T15" s="72"/>
      <c r="U15" s="71"/>
      <c r="V15" s="72"/>
    </row>
    <row r="16" spans="1:22" x14ac:dyDescent="0.25">
      <c r="A16" s="17" t="str">
        <f>Info!$B$4</f>
        <v>Gemma 3 4B</v>
      </c>
      <c r="B16" s="33">
        <v>100</v>
      </c>
      <c r="C16" s="21">
        <f t="shared" si="0"/>
        <v>11.27</v>
      </c>
      <c r="D16" s="21">
        <v>11.27</v>
      </c>
      <c r="F16" s="71"/>
      <c r="G16" s="72"/>
      <c r="H16" s="71"/>
      <c r="I16" s="72"/>
      <c r="J16" s="71"/>
      <c r="K16" s="72"/>
      <c r="L16" s="71"/>
      <c r="M16" s="72"/>
      <c r="O16" s="71"/>
      <c r="P16" s="72"/>
      <c r="Q16" s="71"/>
      <c r="R16" s="72"/>
      <c r="S16" s="71"/>
      <c r="T16" s="72"/>
      <c r="U16" s="71"/>
      <c r="V16" s="72"/>
    </row>
    <row r="17" spans="1:22" ht="15.75" thickBot="1" x14ac:dyDescent="0.3">
      <c r="A17" s="18" t="str">
        <f>Info!$B$4</f>
        <v>Gemma 3 4B</v>
      </c>
      <c r="B17" s="34">
        <v>150</v>
      </c>
      <c r="C17" s="54" t="s">
        <v>75</v>
      </c>
      <c r="D17" s="23" t="s">
        <v>75</v>
      </c>
      <c r="F17" s="73"/>
      <c r="G17" s="74"/>
      <c r="H17" s="73"/>
      <c r="I17" s="74"/>
      <c r="J17" s="73"/>
      <c r="K17" s="74"/>
      <c r="L17" s="73"/>
      <c r="M17" s="74"/>
      <c r="O17" s="73"/>
      <c r="P17" s="74"/>
      <c r="Q17" s="73"/>
      <c r="R17" s="74"/>
      <c r="S17" s="73"/>
      <c r="T17" s="74"/>
      <c r="U17" s="73"/>
      <c r="V17" s="74"/>
    </row>
    <row r="18" spans="1:22" ht="3.75" customHeight="1" thickBot="1" x14ac:dyDescent="0.3">
      <c r="B18" s="30"/>
      <c r="C18" s="56"/>
      <c r="D18" s="31"/>
    </row>
    <row r="19" spans="1:22" x14ac:dyDescent="0.25">
      <c r="A19" s="16" t="str">
        <f>Info!$B$5</f>
        <v>Gemma 4 E2B</v>
      </c>
      <c r="B19" s="32">
        <v>4</v>
      </c>
      <c r="C19" s="55">
        <f>IF(D19 &lt;= 16,D19,16)</f>
        <v>4.38</v>
      </c>
      <c r="D19" s="20">
        <v>4.38</v>
      </c>
      <c r="F19" s="69"/>
      <c r="G19" s="70"/>
      <c r="H19" s="69"/>
      <c r="I19" s="70"/>
      <c r="J19" s="69"/>
      <c r="K19" s="70"/>
      <c r="L19" s="69"/>
      <c r="M19" s="70"/>
      <c r="O19" s="69"/>
      <c r="P19" s="70"/>
      <c r="Q19" s="69"/>
      <c r="R19" s="70"/>
      <c r="S19" s="69"/>
      <c r="T19" s="70"/>
      <c r="U19" s="69"/>
      <c r="V19" s="70"/>
    </row>
    <row r="20" spans="1:22" x14ac:dyDescent="0.25">
      <c r="A20" s="17" t="str">
        <f>Info!$B$5</f>
        <v>Gemma 4 E2B</v>
      </c>
      <c r="B20" s="33">
        <v>8</v>
      </c>
      <c r="C20" s="21">
        <f>IF(D20 &lt;= 16,D20,16)</f>
        <v>4.43</v>
      </c>
      <c r="D20" s="22">
        <v>4.43</v>
      </c>
      <c r="F20" s="71"/>
      <c r="G20" s="72"/>
      <c r="H20" s="71"/>
      <c r="I20" s="72"/>
      <c r="J20" s="71"/>
      <c r="K20" s="72"/>
      <c r="L20" s="71"/>
      <c r="M20" s="72"/>
      <c r="O20" s="71"/>
      <c r="P20" s="72"/>
      <c r="Q20" s="71"/>
      <c r="R20" s="72"/>
      <c r="S20" s="71"/>
      <c r="T20" s="72"/>
      <c r="U20" s="71"/>
      <c r="V20" s="72"/>
    </row>
    <row r="21" spans="1:22" x14ac:dyDescent="0.25">
      <c r="A21" s="17" t="str">
        <f>Info!$B$5</f>
        <v>Gemma 4 E2B</v>
      </c>
      <c r="B21" s="33">
        <v>20</v>
      </c>
      <c r="C21" s="21">
        <f t="shared" ref="C21:C84" si="1">IF(D21 &lt;= 16,D21,16)</f>
        <v>4.5599999999999996</v>
      </c>
      <c r="D21" s="22">
        <v>4.5599999999999996</v>
      </c>
      <c r="F21" s="71"/>
      <c r="G21" s="72"/>
      <c r="H21" s="71"/>
      <c r="I21" s="72"/>
      <c r="J21" s="71"/>
      <c r="K21" s="72"/>
      <c r="L21" s="71"/>
      <c r="M21" s="72"/>
      <c r="O21" s="71"/>
      <c r="P21" s="72"/>
      <c r="Q21" s="71"/>
      <c r="R21" s="72"/>
      <c r="S21" s="71"/>
      <c r="T21" s="72"/>
      <c r="U21" s="71"/>
      <c r="V21" s="72"/>
    </row>
    <row r="22" spans="1:22" x14ac:dyDescent="0.25">
      <c r="A22" s="17" t="str">
        <f>Info!$B$5</f>
        <v>Gemma 4 E2B</v>
      </c>
      <c r="B22" s="33">
        <v>50</v>
      </c>
      <c r="C22" s="21">
        <f t="shared" si="1"/>
        <v>4.96</v>
      </c>
      <c r="D22" s="22">
        <v>4.96</v>
      </c>
      <c r="F22" s="71"/>
      <c r="G22" s="72"/>
      <c r="H22" s="71"/>
      <c r="I22" s="72"/>
      <c r="J22" s="71"/>
      <c r="K22" s="72"/>
      <c r="L22" s="71"/>
      <c r="M22" s="72"/>
      <c r="O22" s="71"/>
      <c r="P22" s="72"/>
      <c r="Q22" s="71"/>
      <c r="R22" s="72"/>
      <c r="S22" s="71"/>
      <c r="T22" s="72"/>
      <c r="U22" s="71"/>
      <c r="V22" s="72"/>
    </row>
    <row r="23" spans="1:22" x14ac:dyDescent="0.25">
      <c r="A23" s="17" t="str">
        <f>Info!$B$5</f>
        <v>Gemma 4 E2B</v>
      </c>
      <c r="B23" s="33">
        <v>100</v>
      </c>
      <c r="C23" s="21">
        <f t="shared" si="1"/>
        <v>5.58</v>
      </c>
      <c r="D23" s="22">
        <v>5.58</v>
      </c>
      <c r="F23" s="71"/>
      <c r="G23" s="72"/>
      <c r="H23" s="71"/>
      <c r="I23" s="72"/>
      <c r="J23" s="71"/>
      <c r="K23" s="72"/>
      <c r="L23" s="71"/>
      <c r="M23" s="72"/>
      <c r="O23" s="71"/>
      <c r="P23" s="72"/>
      <c r="Q23" s="71"/>
      <c r="R23" s="72"/>
      <c r="S23" s="71"/>
      <c r="T23" s="72"/>
      <c r="U23" s="71"/>
      <c r="V23" s="72"/>
    </row>
    <row r="24" spans="1:22" ht="15.75" thickBot="1" x14ac:dyDescent="0.3">
      <c r="A24" s="18" t="str">
        <f>Info!$B$5</f>
        <v>Gemma 4 E2B</v>
      </c>
      <c r="B24" s="34">
        <v>150</v>
      </c>
      <c r="C24" s="54" t="s">
        <v>75</v>
      </c>
      <c r="D24" s="23" t="s">
        <v>75</v>
      </c>
      <c r="F24" s="73"/>
      <c r="G24" s="74"/>
      <c r="H24" s="73"/>
      <c r="I24" s="74"/>
      <c r="J24" s="73"/>
      <c r="K24" s="74"/>
      <c r="L24" s="73"/>
      <c r="M24" s="74"/>
      <c r="O24" s="73"/>
      <c r="P24" s="74"/>
      <c r="Q24" s="73"/>
      <c r="R24" s="74"/>
      <c r="S24" s="73"/>
      <c r="T24" s="74"/>
      <c r="U24" s="73"/>
      <c r="V24" s="74"/>
    </row>
    <row r="25" spans="1:22" ht="5.0999999999999996" customHeight="1" thickBot="1" x14ac:dyDescent="0.3">
      <c r="B25" s="30"/>
      <c r="C25" s="56"/>
      <c r="D25" s="31"/>
    </row>
    <row r="26" spans="1:22" x14ac:dyDescent="0.25">
      <c r="A26" s="16" t="str">
        <f>Info!$B$6</f>
        <v>Qwen3 8B</v>
      </c>
      <c r="B26" s="32">
        <v>4</v>
      </c>
      <c r="C26" s="55">
        <f t="shared" si="1"/>
        <v>5.21</v>
      </c>
      <c r="D26" s="20">
        <v>5.21</v>
      </c>
      <c r="F26" s="69"/>
      <c r="G26" s="70"/>
      <c r="H26" s="69"/>
      <c r="I26" s="70"/>
      <c r="J26" s="69"/>
      <c r="K26" s="70"/>
      <c r="L26" s="69"/>
      <c r="M26" s="70"/>
      <c r="O26" s="69"/>
      <c r="P26" s="70"/>
      <c r="Q26" s="69"/>
      <c r="R26" s="70"/>
      <c r="S26" s="69"/>
      <c r="T26" s="70"/>
      <c r="U26" s="69"/>
      <c r="V26" s="70"/>
    </row>
    <row r="27" spans="1:22" x14ac:dyDescent="0.25">
      <c r="A27" s="17" t="str">
        <f>Info!$B$6</f>
        <v>Qwen3 8B</v>
      </c>
      <c r="B27" s="33">
        <v>8</v>
      </c>
      <c r="C27" s="21">
        <f t="shared" si="1"/>
        <v>5.48</v>
      </c>
      <c r="D27" s="22">
        <v>5.48</v>
      </c>
      <c r="F27" s="71"/>
      <c r="G27" s="72"/>
      <c r="H27" s="71"/>
      <c r="I27" s="72"/>
      <c r="J27" s="71"/>
      <c r="K27" s="72"/>
      <c r="L27" s="71"/>
      <c r="M27" s="72"/>
      <c r="O27" s="71"/>
      <c r="P27" s="72"/>
      <c r="Q27" s="71"/>
      <c r="R27" s="72"/>
      <c r="S27" s="71"/>
      <c r="T27" s="72"/>
      <c r="U27" s="71"/>
      <c r="V27" s="72"/>
    </row>
    <row r="28" spans="1:22" x14ac:dyDescent="0.25">
      <c r="A28" s="17" t="str">
        <f>Info!$B$6</f>
        <v>Qwen3 8B</v>
      </c>
      <c r="B28" s="33">
        <v>20</v>
      </c>
      <c r="C28" s="21">
        <f t="shared" si="1"/>
        <v>6.29</v>
      </c>
      <c r="D28" s="22">
        <v>6.29</v>
      </c>
      <c r="F28" s="71"/>
      <c r="G28" s="72"/>
      <c r="H28" s="71"/>
      <c r="I28" s="72"/>
      <c r="J28" s="71"/>
      <c r="K28" s="72"/>
      <c r="L28" s="71"/>
      <c r="M28" s="72"/>
      <c r="O28" s="71"/>
      <c r="P28" s="72"/>
      <c r="Q28" s="71"/>
      <c r="R28" s="72"/>
      <c r="S28" s="71"/>
      <c r="T28" s="72"/>
      <c r="U28" s="71"/>
      <c r="V28" s="72"/>
    </row>
    <row r="29" spans="1:22" x14ac:dyDescent="0.25">
      <c r="A29" s="17" t="str">
        <f>Info!$B$6</f>
        <v>Qwen3 8B</v>
      </c>
      <c r="B29" s="33">
        <v>50</v>
      </c>
      <c r="C29" s="21" t="s">
        <v>75</v>
      </c>
      <c r="D29" s="22" t="s">
        <v>75</v>
      </c>
      <c r="F29" s="71"/>
      <c r="G29" s="72"/>
      <c r="H29" s="71"/>
      <c r="I29" s="72"/>
      <c r="J29" s="71"/>
      <c r="K29" s="72"/>
      <c r="L29" s="71"/>
      <c r="M29" s="72"/>
      <c r="O29" s="71"/>
      <c r="P29" s="72"/>
      <c r="Q29" s="71"/>
      <c r="R29" s="72"/>
      <c r="S29" s="71"/>
      <c r="T29" s="72"/>
      <c r="U29" s="71"/>
      <c r="V29" s="72"/>
    </row>
    <row r="30" spans="1:22" x14ac:dyDescent="0.25">
      <c r="A30" s="17" t="str">
        <f>Info!$B$6</f>
        <v>Qwen3 8B</v>
      </c>
      <c r="B30" s="33">
        <v>100</v>
      </c>
      <c r="C30" s="21" t="s">
        <v>75</v>
      </c>
      <c r="D30" s="22" t="s">
        <v>75</v>
      </c>
      <c r="F30" s="71"/>
      <c r="G30" s="72"/>
      <c r="H30" s="71"/>
      <c r="I30" s="72"/>
      <c r="J30" s="71"/>
      <c r="K30" s="72"/>
      <c r="L30" s="71"/>
      <c r="M30" s="72"/>
      <c r="O30" s="71"/>
      <c r="P30" s="72"/>
      <c r="Q30" s="71"/>
      <c r="R30" s="72"/>
      <c r="S30" s="71"/>
      <c r="T30" s="72"/>
      <c r="U30" s="71"/>
      <c r="V30" s="72"/>
    </row>
    <row r="31" spans="1:22" ht="15.75" thickBot="1" x14ac:dyDescent="0.3">
      <c r="A31" s="18" t="str">
        <f>Info!$B$6</f>
        <v>Qwen3 8B</v>
      </c>
      <c r="B31" s="34">
        <v>150</v>
      </c>
      <c r="C31" s="54" t="s">
        <v>75</v>
      </c>
      <c r="D31" s="23" t="s">
        <v>75</v>
      </c>
      <c r="F31" s="73"/>
      <c r="G31" s="74"/>
      <c r="H31" s="73"/>
      <c r="I31" s="74"/>
      <c r="J31" s="73"/>
      <c r="K31" s="74"/>
      <c r="L31" s="73"/>
      <c r="M31" s="74"/>
      <c r="O31" s="73"/>
      <c r="P31" s="74"/>
      <c r="Q31" s="73"/>
      <c r="R31" s="74"/>
      <c r="S31" s="73"/>
      <c r="T31" s="74"/>
      <c r="U31" s="73"/>
      <c r="V31" s="74"/>
    </row>
    <row r="32" spans="1:22" ht="5.0999999999999996" customHeight="1" thickBot="1" x14ac:dyDescent="0.3">
      <c r="B32" s="30"/>
      <c r="C32" s="56"/>
      <c r="D32" s="31"/>
    </row>
    <row r="33" spans="1:22" x14ac:dyDescent="0.25">
      <c r="A33" s="16" t="str">
        <f>Info!$B$7</f>
        <v>Gemma 4 E4B</v>
      </c>
      <c r="B33" s="32">
        <v>4</v>
      </c>
      <c r="C33" s="55">
        <f t="shared" si="1"/>
        <v>6.41</v>
      </c>
      <c r="D33" s="20">
        <v>6.41</v>
      </c>
      <c r="F33" s="69"/>
      <c r="G33" s="70"/>
      <c r="H33" s="69"/>
      <c r="I33" s="70"/>
      <c r="J33" s="69"/>
      <c r="K33" s="70"/>
      <c r="L33" s="69"/>
      <c r="M33" s="70"/>
      <c r="O33" s="69"/>
      <c r="P33" s="70"/>
      <c r="Q33" s="69"/>
      <c r="R33" s="70"/>
      <c r="S33" s="69"/>
      <c r="T33" s="70"/>
      <c r="U33" s="69"/>
      <c r="V33" s="70"/>
    </row>
    <row r="34" spans="1:22" x14ac:dyDescent="0.25">
      <c r="A34" s="17" t="str">
        <f>Info!$B$7</f>
        <v>Gemma 4 E4B</v>
      </c>
      <c r="B34" s="33">
        <v>8</v>
      </c>
      <c r="C34" s="21">
        <f t="shared" si="1"/>
        <v>6.6</v>
      </c>
      <c r="D34" s="22">
        <v>6.6</v>
      </c>
      <c r="F34" s="71"/>
      <c r="G34" s="72"/>
      <c r="H34" s="71"/>
      <c r="I34" s="72"/>
      <c r="J34" s="71"/>
      <c r="K34" s="72"/>
      <c r="L34" s="71"/>
      <c r="M34" s="72"/>
      <c r="O34" s="71"/>
      <c r="P34" s="72"/>
      <c r="Q34" s="71"/>
      <c r="R34" s="72"/>
      <c r="S34" s="71"/>
      <c r="T34" s="72"/>
      <c r="U34" s="71"/>
      <c r="V34" s="72"/>
    </row>
    <row r="35" spans="1:22" x14ac:dyDescent="0.25">
      <c r="A35" s="17" t="str">
        <f>Info!$B$7</f>
        <v>Gemma 4 E4B</v>
      </c>
      <c r="B35" s="33">
        <v>20</v>
      </c>
      <c r="C35" s="21">
        <f t="shared" si="1"/>
        <v>7.2</v>
      </c>
      <c r="D35" s="22">
        <v>7.2</v>
      </c>
      <c r="F35" s="71"/>
      <c r="G35" s="72"/>
      <c r="H35" s="71"/>
      <c r="I35" s="72"/>
      <c r="J35" s="71"/>
      <c r="K35" s="72"/>
      <c r="L35" s="71"/>
      <c r="M35" s="72"/>
      <c r="O35" s="71"/>
      <c r="P35" s="72"/>
      <c r="Q35" s="71"/>
      <c r="R35" s="72"/>
      <c r="S35" s="71"/>
      <c r="T35" s="72"/>
      <c r="U35" s="71"/>
      <c r="V35" s="72"/>
    </row>
    <row r="36" spans="1:22" x14ac:dyDescent="0.25">
      <c r="A36" s="17" t="str">
        <f>Info!$B$7</f>
        <v>Gemma 4 E4B</v>
      </c>
      <c r="B36" s="33">
        <v>50</v>
      </c>
      <c r="C36" s="21">
        <f t="shared" si="1"/>
        <v>8.68</v>
      </c>
      <c r="D36" s="22">
        <v>8.68</v>
      </c>
      <c r="F36" s="71"/>
      <c r="G36" s="72"/>
      <c r="H36" s="71"/>
      <c r="I36" s="72"/>
      <c r="J36" s="71"/>
      <c r="K36" s="72"/>
      <c r="L36" s="71"/>
      <c r="M36" s="72"/>
      <c r="O36" s="71"/>
      <c r="P36" s="72"/>
      <c r="Q36" s="71"/>
      <c r="R36" s="72"/>
      <c r="S36" s="71"/>
      <c r="T36" s="72"/>
      <c r="U36" s="71"/>
      <c r="V36" s="72"/>
    </row>
    <row r="37" spans="1:22" x14ac:dyDescent="0.25">
      <c r="A37" s="17" t="str">
        <f>Info!$B$7</f>
        <v>Gemma 4 E4B</v>
      </c>
      <c r="B37" s="33">
        <v>100</v>
      </c>
      <c r="C37" s="21">
        <f t="shared" si="1"/>
        <v>11.15</v>
      </c>
      <c r="D37" s="22">
        <v>11.15</v>
      </c>
      <c r="F37" s="71"/>
      <c r="G37" s="72"/>
      <c r="H37" s="71"/>
      <c r="I37" s="72"/>
      <c r="J37" s="71"/>
      <c r="K37" s="72"/>
      <c r="L37" s="71"/>
      <c r="M37" s="72"/>
      <c r="O37" s="71"/>
      <c r="P37" s="72"/>
      <c r="Q37" s="71"/>
      <c r="R37" s="72"/>
      <c r="S37" s="71"/>
      <c r="T37" s="72"/>
      <c r="U37" s="71"/>
      <c r="V37" s="72"/>
    </row>
    <row r="38" spans="1:22" ht="15.75" thickBot="1" x14ac:dyDescent="0.3">
      <c r="A38" s="18" t="str">
        <f>Info!$B$7</f>
        <v>Gemma 4 E4B</v>
      </c>
      <c r="B38" s="34">
        <v>150</v>
      </c>
      <c r="C38" s="54" t="s">
        <v>75</v>
      </c>
      <c r="D38" s="23" t="s">
        <v>75</v>
      </c>
      <c r="F38" s="73"/>
      <c r="G38" s="74"/>
      <c r="H38" s="73"/>
      <c r="I38" s="74"/>
      <c r="J38" s="73"/>
      <c r="K38" s="74"/>
      <c r="L38" s="73"/>
      <c r="M38" s="74"/>
      <c r="O38" s="73"/>
      <c r="P38" s="74"/>
      <c r="Q38" s="73"/>
      <c r="R38" s="74"/>
      <c r="S38" s="73"/>
      <c r="T38" s="74"/>
      <c r="U38" s="73"/>
      <c r="V38" s="74"/>
    </row>
    <row r="39" spans="1:22" ht="5.0999999999999996" customHeight="1" thickBot="1" x14ac:dyDescent="0.3">
      <c r="B39" s="30"/>
      <c r="C39" s="56"/>
      <c r="D39" s="31"/>
    </row>
    <row r="40" spans="1:22" x14ac:dyDescent="0.25">
      <c r="A40" s="16" t="str">
        <f>Info!$B$8</f>
        <v>Qwen3.5 9B</v>
      </c>
      <c r="B40" s="32">
        <v>4</v>
      </c>
      <c r="C40" s="55">
        <f t="shared" si="1"/>
        <v>7.06</v>
      </c>
      <c r="D40" s="20">
        <v>7.06</v>
      </c>
      <c r="F40" s="69"/>
      <c r="G40" s="70"/>
      <c r="H40" s="69"/>
      <c r="I40" s="70"/>
      <c r="J40" s="69"/>
      <c r="K40" s="70"/>
      <c r="L40" s="69"/>
      <c r="M40" s="70"/>
      <c r="O40" s="69"/>
      <c r="P40" s="70"/>
      <c r="Q40" s="69"/>
      <c r="R40" s="70"/>
      <c r="S40" s="69"/>
      <c r="T40" s="70"/>
      <c r="U40" s="69"/>
      <c r="V40" s="70"/>
    </row>
    <row r="41" spans="1:22" x14ac:dyDescent="0.25">
      <c r="A41" s="17" t="str">
        <f>Info!$B$8</f>
        <v>Qwen3.5 9B</v>
      </c>
      <c r="B41" s="33">
        <v>8</v>
      </c>
      <c r="C41" s="21">
        <f t="shared" si="1"/>
        <v>7.21</v>
      </c>
      <c r="D41" s="22">
        <v>7.21</v>
      </c>
      <c r="F41" s="71"/>
      <c r="G41" s="72"/>
      <c r="H41" s="71"/>
      <c r="I41" s="72"/>
      <c r="J41" s="71"/>
      <c r="K41" s="72"/>
      <c r="L41" s="71"/>
      <c r="M41" s="72"/>
      <c r="O41" s="71"/>
      <c r="P41" s="72"/>
      <c r="Q41" s="71"/>
      <c r="R41" s="72"/>
      <c r="S41" s="71"/>
      <c r="T41" s="72"/>
      <c r="U41" s="71"/>
      <c r="V41" s="72"/>
    </row>
    <row r="42" spans="1:22" x14ac:dyDescent="0.25">
      <c r="A42" s="17" t="str">
        <f>Info!$B$8</f>
        <v>Qwen3.5 9B</v>
      </c>
      <c r="B42" s="33">
        <v>20</v>
      </c>
      <c r="C42" s="21">
        <f t="shared" si="1"/>
        <v>7.66</v>
      </c>
      <c r="D42" s="22">
        <v>7.66</v>
      </c>
      <c r="F42" s="71"/>
      <c r="G42" s="72"/>
      <c r="H42" s="71"/>
      <c r="I42" s="72"/>
      <c r="J42" s="71"/>
      <c r="K42" s="72"/>
      <c r="L42" s="71"/>
      <c r="M42" s="72"/>
      <c r="O42" s="71"/>
      <c r="P42" s="72"/>
      <c r="Q42" s="71"/>
      <c r="R42" s="72"/>
      <c r="S42" s="71"/>
      <c r="T42" s="72"/>
      <c r="U42" s="71"/>
      <c r="V42" s="72"/>
    </row>
    <row r="43" spans="1:22" x14ac:dyDescent="0.25">
      <c r="A43" s="17" t="str">
        <f>Info!$B$8</f>
        <v>Qwen3.5 9B</v>
      </c>
      <c r="B43" s="33">
        <v>50</v>
      </c>
      <c r="C43" s="21">
        <f t="shared" si="1"/>
        <v>8.7899999999999991</v>
      </c>
      <c r="D43" s="22">
        <v>8.7899999999999991</v>
      </c>
      <c r="F43" s="71"/>
      <c r="G43" s="72"/>
      <c r="H43" s="71"/>
      <c r="I43" s="72"/>
      <c r="J43" s="71"/>
      <c r="K43" s="72"/>
      <c r="L43" s="71"/>
      <c r="M43" s="72"/>
      <c r="O43" s="71"/>
      <c r="P43" s="72"/>
      <c r="Q43" s="71"/>
      <c r="R43" s="72"/>
      <c r="S43" s="71"/>
      <c r="T43" s="72"/>
      <c r="U43" s="71"/>
      <c r="V43" s="72"/>
    </row>
    <row r="44" spans="1:22" x14ac:dyDescent="0.25">
      <c r="A44" s="17" t="str">
        <f>Info!$B$8</f>
        <v>Qwen3.5 9B</v>
      </c>
      <c r="B44" s="33">
        <v>100</v>
      </c>
      <c r="C44" s="21">
        <f t="shared" si="1"/>
        <v>10.68</v>
      </c>
      <c r="D44" s="22">
        <v>10.68</v>
      </c>
      <c r="F44" s="71"/>
      <c r="G44" s="72"/>
      <c r="H44" s="71"/>
      <c r="I44" s="72"/>
      <c r="J44" s="71"/>
      <c r="K44" s="72"/>
      <c r="L44" s="71"/>
      <c r="M44" s="72"/>
      <c r="O44" s="71"/>
      <c r="P44" s="72"/>
      <c r="Q44" s="71"/>
      <c r="R44" s="72"/>
      <c r="S44" s="71"/>
      <c r="T44" s="72"/>
      <c r="U44" s="71"/>
      <c r="V44" s="72"/>
    </row>
    <row r="45" spans="1:22" ht="15.75" thickBot="1" x14ac:dyDescent="0.3">
      <c r="A45" s="18" t="str">
        <f>Info!$B$8</f>
        <v>Qwen3.5 9B</v>
      </c>
      <c r="B45" s="34">
        <v>150</v>
      </c>
      <c r="C45" s="54">
        <f t="shared" si="1"/>
        <v>12.57</v>
      </c>
      <c r="D45" s="23">
        <v>12.57</v>
      </c>
      <c r="F45" s="73"/>
      <c r="G45" s="74"/>
      <c r="H45" s="73"/>
      <c r="I45" s="74"/>
      <c r="J45" s="73"/>
      <c r="K45" s="74"/>
      <c r="L45" s="73"/>
      <c r="M45" s="74"/>
      <c r="O45" s="73"/>
      <c r="P45" s="74"/>
      <c r="Q45" s="73"/>
      <c r="R45" s="74"/>
      <c r="S45" s="73"/>
      <c r="T45" s="74"/>
      <c r="U45" s="73"/>
      <c r="V45" s="74"/>
    </row>
    <row r="46" spans="1:22" ht="5.0999999999999996" customHeight="1" thickBot="1" x14ac:dyDescent="0.3">
      <c r="B46" s="30"/>
      <c r="C46" s="56"/>
      <c r="D46" s="31"/>
    </row>
    <row r="47" spans="1:22" x14ac:dyDescent="0.25">
      <c r="A47" s="16" t="str">
        <f>Info!$B$9</f>
        <v>Glm 4.6v Flash</v>
      </c>
      <c r="B47" s="32">
        <v>4</v>
      </c>
      <c r="C47" s="55">
        <f t="shared" si="1"/>
        <v>7.88</v>
      </c>
      <c r="D47" s="20">
        <v>7.88</v>
      </c>
      <c r="F47" s="69"/>
      <c r="G47" s="70"/>
      <c r="H47" s="69"/>
      <c r="I47" s="70"/>
      <c r="J47" s="69"/>
      <c r="K47" s="70"/>
      <c r="L47" s="69"/>
      <c r="M47" s="70"/>
      <c r="O47" s="69"/>
      <c r="P47" s="70"/>
      <c r="Q47" s="69"/>
      <c r="R47" s="70"/>
      <c r="S47" s="69"/>
      <c r="T47" s="70"/>
      <c r="U47" s="69"/>
      <c r="V47" s="70"/>
    </row>
    <row r="48" spans="1:22" x14ac:dyDescent="0.25">
      <c r="A48" s="17" t="str">
        <f>Info!$B$9</f>
        <v>Glm 4.6v Flash</v>
      </c>
      <c r="B48" s="33">
        <v>8</v>
      </c>
      <c r="C48" s="21">
        <f t="shared" si="1"/>
        <v>7.96</v>
      </c>
      <c r="D48" s="22">
        <v>7.96</v>
      </c>
      <c r="F48" s="71"/>
      <c r="G48" s="72"/>
      <c r="H48" s="71"/>
      <c r="I48" s="72"/>
      <c r="J48" s="71"/>
      <c r="K48" s="72"/>
      <c r="L48" s="71"/>
      <c r="M48" s="72"/>
      <c r="O48" s="71"/>
      <c r="P48" s="72"/>
      <c r="Q48" s="71"/>
      <c r="R48" s="72"/>
      <c r="S48" s="71"/>
      <c r="T48" s="72"/>
      <c r="U48" s="71"/>
      <c r="V48" s="72"/>
    </row>
    <row r="49" spans="1:22" x14ac:dyDescent="0.25">
      <c r="A49" s="17" t="str">
        <f>Info!$B$9</f>
        <v>Glm 4.6v Flash</v>
      </c>
      <c r="B49" s="33">
        <v>20</v>
      </c>
      <c r="C49" s="21">
        <f t="shared" si="1"/>
        <v>8.18</v>
      </c>
      <c r="D49" s="22">
        <v>8.18</v>
      </c>
      <c r="F49" s="71"/>
      <c r="G49" s="72"/>
      <c r="H49" s="71"/>
      <c r="I49" s="72"/>
      <c r="J49" s="71"/>
      <c r="K49" s="72"/>
      <c r="L49" s="71"/>
      <c r="M49" s="72"/>
      <c r="O49" s="71"/>
      <c r="P49" s="72"/>
      <c r="Q49" s="71"/>
      <c r="R49" s="72"/>
      <c r="S49" s="71"/>
      <c r="T49" s="72"/>
      <c r="U49" s="71"/>
      <c r="V49" s="72"/>
    </row>
    <row r="50" spans="1:22" x14ac:dyDescent="0.25">
      <c r="A50" s="17" t="str">
        <f>Info!$B$9</f>
        <v>Glm 4.6v Flash</v>
      </c>
      <c r="B50" s="33">
        <v>50</v>
      </c>
      <c r="C50" s="21">
        <f t="shared" si="1"/>
        <v>8.75</v>
      </c>
      <c r="D50" s="22">
        <v>8.75</v>
      </c>
      <c r="F50" s="71"/>
      <c r="G50" s="72"/>
      <c r="H50" s="71"/>
      <c r="I50" s="72"/>
      <c r="J50" s="71"/>
      <c r="K50" s="72"/>
      <c r="L50" s="71"/>
      <c r="M50" s="72"/>
      <c r="O50" s="71"/>
      <c r="P50" s="72"/>
      <c r="Q50" s="71"/>
      <c r="R50" s="72"/>
      <c r="S50" s="71"/>
      <c r="T50" s="72"/>
      <c r="U50" s="71"/>
      <c r="V50" s="72"/>
    </row>
    <row r="51" spans="1:22" x14ac:dyDescent="0.25">
      <c r="A51" s="17" t="str">
        <f>Info!$B$9</f>
        <v>Glm 4.6v Flash</v>
      </c>
      <c r="B51" s="33">
        <v>100</v>
      </c>
      <c r="C51" s="21">
        <f t="shared" si="1"/>
        <v>9.6999999999999993</v>
      </c>
      <c r="D51" s="22">
        <v>9.6999999999999993</v>
      </c>
      <c r="F51" s="71"/>
      <c r="G51" s="72"/>
      <c r="H51" s="71"/>
      <c r="I51" s="72"/>
      <c r="J51" s="71"/>
      <c r="K51" s="72"/>
      <c r="L51" s="71"/>
      <c r="M51" s="72"/>
      <c r="O51" s="71"/>
      <c r="P51" s="72"/>
      <c r="Q51" s="71"/>
      <c r="R51" s="72"/>
      <c r="S51" s="71"/>
      <c r="T51" s="72"/>
      <c r="U51" s="71"/>
      <c r="V51" s="72"/>
    </row>
    <row r="52" spans="1:22" ht="15.75" thickBot="1" x14ac:dyDescent="0.3">
      <c r="A52" s="18" t="str">
        <f>Info!$B$9</f>
        <v>Glm 4.6v Flash</v>
      </c>
      <c r="B52" s="34">
        <v>150</v>
      </c>
      <c r="C52" s="54" t="s">
        <v>75</v>
      </c>
      <c r="D52" s="23" t="s">
        <v>75</v>
      </c>
      <c r="F52" s="73"/>
      <c r="G52" s="74"/>
      <c r="H52" s="73"/>
      <c r="I52" s="74"/>
      <c r="J52" s="73"/>
      <c r="K52" s="74"/>
      <c r="L52" s="73"/>
      <c r="M52" s="74"/>
      <c r="O52" s="73"/>
      <c r="P52" s="74"/>
      <c r="Q52" s="73"/>
      <c r="R52" s="74"/>
      <c r="S52" s="73"/>
      <c r="T52" s="74"/>
      <c r="U52" s="73"/>
      <c r="V52" s="74"/>
    </row>
    <row r="53" spans="1:22" ht="5.0999999999999996" customHeight="1" thickBot="1" x14ac:dyDescent="0.3">
      <c r="C53" s="56"/>
    </row>
    <row r="54" spans="1:22" x14ac:dyDescent="0.25">
      <c r="A54" s="16" t="str">
        <f>Info!$B$10</f>
        <v>Qwen2.5 14B Instruct</v>
      </c>
      <c r="B54" s="32">
        <v>4</v>
      </c>
      <c r="C54" s="55">
        <f t="shared" si="1"/>
        <v>9.19</v>
      </c>
      <c r="D54" s="20">
        <v>9.19</v>
      </c>
      <c r="F54" s="69"/>
      <c r="G54" s="70"/>
      <c r="H54" s="69"/>
      <c r="I54" s="70"/>
      <c r="J54" s="69"/>
      <c r="K54" s="70"/>
      <c r="L54" s="69"/>
      <c r="M54" s="70"/>
      <c r="O54" s="69"/>
      <c r="P54" s="70"/>
      <c r="Q54" s="69"/>
      <c r="R54" s="70"/>
      <c r="S54" s="69"/>
      <c r="T54" s="70"/>
      <c r="U54" s="69"/>
      <c r="V54" s="70"/>
    </row>
    <row r="55" spans="1:22" x14ac:dyDescent="0.25">
      <c r="A55" s="17" t="str">
        <f>Info!$B$10</f>
        <v>Qwen2.5 14B Instruct</v>
      </c>
      <c r="B55" s="33">
        <v>8</v>
      </c>
      <c r="C55" s="21">
        <f t="shared" si="1"/>
        <v>9.5399999999999991</v>
      </c>
      <c r="D55" s="22">
        <v>9.5399999999999991</v>
      </c>
      <c r="F55" s="71"/>
      <c r="G55" s="72"/>
      <c r="H55" s="71"/>
      <c r="I55" s="72"/>
      <c r="J55" s="71"/>
      <c r="K55" s="72"/>
      <c r="L55" s="71"/>
      <c r="M55" s="72"/>
      <c r="O55" s="71"/>
      <c r="P55" s="72"/>
      <c r="Q55" s="71"/>
      <c r="R55" s="72"/>
      <c r="S55" s="71"/>
      <c r="T55" s="72"/>
      <c r="U55" s="71"/>
      <c r="V55" s="72"/>
    </row>
    <row r="56" spans="1:22" x14ac:dyDescent="0.25">
      <c r="A56" s="17" t="str">
        <f>Info!$B$10</f>
        <v>Qwen2.5 14B Instruct</v>
      </c>
      <c r="B56" s="33">
        <v>20</v>
      </c>
      <c r="C56" s="21">
        <f t="shared" si="1"/>
        <v>10.62</v>
      </c>
      <c r="D56" s="22">
        <v>10.62</v>
      </c>
      <c r="F56" s="71"/>
      <c r="G56" s="72"/>
      <c r="H56" s="71"/>
      <c r="I56" s="72"/>
      <c r="J56" s="71"/>
      <c r="K56" s="72"/>
      <c r="L56" s="71"/>
      <c r="M56" s="72"/>
      <c r="O56" s="71"/>
      <c r="P56" s="72"/>
      <c r="Q56" s="71"/>
      <c r="R56" s="72"/>
      <c r="S56" s="71"/>
      <c r="T56" s="72"/>
      <c r="U56" s="71"/>
      <c r="V56" s="72"/>
    </row>
    <row r="57" spans="1:22" x14ac:dyDescent="0.25">
      <c r="A57" s="17" t="str">
        <f>Info!$B$10</f>
        <v>Qwen2.5 14B Instruct</v>
      </c>
      <c r="B57" s="33">
        <v>50</v>
      </c>
      <c r="C57" s="21" t="s">
        <v>75</v>
      </c>
      <c r="D57" s="22" t="s">
        <v>75</v>
      </c>
      <c r="F57" s="71"/>
      <c r="G57" s="72"/>
      <c r="H57" s="71"/>
      <c r="I57" s="72"/>
      <c r="J57" s="71"/>
      <c r="K57" s="72"/>
      <c r="L57" s="71"/>
      <c r="M57" s="72"/>
      <c r="O57" s="71"/>
      <c r="P57" s="72"/>
      <c r="Q57" s="71"/>
      <c r="R57" s="72"/>
      <c r="S57" s="71"/>
      <c r="T57" s="72"/>
      <c r="U57" s="71"/>
      <c r="V57" s="72"/>
    </row>
    <row r="58" spans="1:22" x14ac:dyDescent="0.25">
      <c r="A58" s="17" t="str">
        <f>Info!$B$10</f>
        <v>Qwen2.5 14B Instruct</v>
      </c>
      <c r="B58" s="33">
        <v>100</v>
      </c>
      <c r="C58" s="21" t="s">
        <v>75</v>
      </c>
      <c r="D58" s="22" t="s">
        <v>75</v>
      </c>
      <c r="F58" s="71"/>
      <c r="G58" s="72"/>
      <c r="H58" s="71"/>
      <c r="I58" s="72"/>
      <c r="J58" s="71"/>
      <c r="K58" s="72"/>
      <c r="L58" s="71"/>
      <c r="M58" s="72"/>
      <c r="O58" s="71"/>
      <c r="P58" s="72"/>
      <c r="Q58" s="71"/>
      <c r="R58" s="72"/>
      <c r="S58" s="71"/>
      <c r="T58" s="72"/>
      <c r="U58" s="71"/>
      <c r="V58" s="72"/>
    </row>
    <row r="59" spans="1:22" ht="15.75" thickBot="1" x14ac:dyDescent="0.3">
      <c r="A59" s="18" t="str">
        <f>Info!$B$10</f>
        <v>Qwen2.5 14B Instruct</v>
      </c>
      <c r="B59" s="34">
        <v>150</v>
      </c>
      <c r="C59" s="54" t="s">
        <v>75</v>
      </c>
      <c r="D59" s="23" t="s">
        <v>75</v>
      </c>
      <c r="F59" s="73"/>
      <c r="G59" s="74"/>
      <c r="H59" s="73"/>
      <c r="I59" s="74"/>
      <c r="J59" s="73"/>
      <c r="K59" s="74"/>
      <c r="L59" s="73"/>
      <c r="M59" s="74"/>
      <c r="O59" s="73"/>
      <c r="P59" s="74"/>
      <c r="Q59" s="73"/>
      <c r="R59" s="74"/>
      <c r="S59" s="73"/>
      <c r="T59" s="74"/>
      <c r="U59" s="73"/>
      <c r="V59" s="74"/>
    </row>
    <row r="60" spans="1:22" ht="5.0999999999999996" customHeight="1" thickBot="1" x14ac:dyDescent="0.3">
      <c r="C60" s="56"/>
    </row>
    <row r="61" spans="1:22" x14ac:dyDescent="0.25">
      <c r="A61" s="16" t="str">
        <f>Info!$B$11</f>
        <v>Ministral 3 14B Reasoning</v>
      </c>
      <c r="B61" s="32">
        <v>4</v>
      </c>
      <c r="C61" s="55">
        <f t="shared" si="1"/>
        <v>9.33</v>
      </c>
      <c r="D61" s="20">
        <v>9.33</v>
      </c>
      <c r="F61" s="69"/>
      <c r="G61" s="70"/>
      <c r="H61" s="69"/>
      <c r="I61" s="70"/>
      <c r="J61" s="69"/>
      <c r="K61" s="70"/>
      <c r="L61" s="69"/>
      <c r="M61" s="70"/>
      <c r="O61" s="69"/>
      <c r="P61" s="70"/>
      <c r="Q61" s="69"/>
      <c r="R61" s="70"/>
      <c r="S61" s="69"/>
      <c r="T61" s="70"/>
      <c r="U61" s="69"/>
      <c r="V61" s="70"/>
    </row>
    <row r="62" spans="1:22" x14ac:dyDescent="0.25">
      <c r="A62" s="17" t="str">
        <f>Info!$B$11</f>
        <v>Ministral 3 14B Reasoning</v>
      </c>
      <c r="B62" s="33">
        <v>8</v>
      </c>
      <c r="C62" s="21">
        <f t="shared" si="1"/>
        <v>9.6999999999999993</v>
      </c>
      <c r="D62" s="22">
        <v>9.6999999999999993</v>
      </c>
      <c r="F62" s="71"/>
      <c r="G62" s="72"/>
      <c r="H62" s="71"/>
      <c r="I62" s="72"/>
      <c r="J62" s="71"/>
      <c r="K62" s="72"/>
      <c r="L62" s="71"/>
      <c r="M62" s="72"/>
      <c r="O62" s="71"/>
      <c r="P62" s="72"/>
      <c r="Q62" s="71"/>
      <c r="R62" s="72"/>
      <c r="S62" s="71"/>
      <c r="T62" s="72"/>
      <c r="U62" s="71"/>
      <c r="V62" s="72"/>
    </row>
    <row r="63" spans="1:22" x14ac:dyDescent="0.25">
      <c r="A63" s="17" t="str">
        <f>Info!$B$11</f>
        <v>Ministral 3 14B Reasoning</v>
      </c>
      <c r="B63" s="33">
        <v>20</v>
      </c>
      <c r="C63" s="21">
        <f t="shared" si="1"/>
        <v>10.83</v>
      </c>
      <c r="D63" s="22">
        <v>10.83</v>
      </c>
      <c r="F63" s="71"/>
      <c r="G63" s="72"/>
      <c r="H63" s="71"/>
      <c r="I63" s="72"/>
      <c r="J63" s="71"/>
      <c r="K63" s="72"/>
      <c r="L63" s="71"/>
      <c r="M63" s="72"/>
      <c r="O63" s="71"/>
      <c r="P63" s="72"/>
      <c r="Q63" s="71"/>
      <c r="R63" s="72"/>
      <c r="S63" s="71"/>
      <c r="T63" s="72"/>
      <c r="U63" s="71"/>
      <c r="V63" s="72"/>
    </row>
    <row r="64" spans="1:22" x14ac:dyDescent="0.25">
      <c r="A64" s="17" t="str">
        <f>Info!$B$11</f>
        <v>Ministral 3 14B Reasoning</v>
      </c>
      <c r="B64" s="33">
        <v>50</v>
      </c>
      <c r="C64" s="21">
        <f t="shared" si="1"/>
        <v>13.65</v>
      </c>
      <c r="D64" s="22">
        <v>13.65</v>
      </c>
      <c r="F64" s="71"/>
      <c r="G64" s="72"/>
      <c r="H64" s="71"/>
      <c r="I64" s="72"/>
      <c r="J64" s="71"/>
      <c r="K64" s="72"/>
      <c r="L64" s="71"/>
      <c r="M64" s="72"/>
      <c r="O64" s="71"/>
      <c r="P64" s="72"/>
      <c r="Q64" s="71"/>
      <c r="R64" s="72"/>
      <c r="S64" s="71"/>
      <c r="T64" s="72"/>
      <c r="U64" s="71"/>
      <c r="V64" s="72"/>
    </row>
    <row r="65" spans="1:22" x14ac:dyDescent="0.25">
      <c r="A65" s="17" t="str">
        <f>Info!$B$11</f>
        <v>Ministral 3 14B Reasoning</v>
      </c>
      <c r="B65" s="33">
        <v>100</v>
      </c>
      <c r="C65" s="21">
        <f t="shared" si="1"/>
        <v>16</v>
      </c>
      <c r="D65" s="22">
        <v>18.34</v>
      </c>
      <c r="F65" s="71"/>
      <c r="G65" s="72"/>
      <c r="H65" s="71"/>
      <c r="I65" s="72"/>
      <c r="J65" s="71"/>
      <c r="K65" s="72"/>
      <c r="L65" s="71"/>
      <c r="M65" s="72"/>
      <c r="O65" s="71"/>
      <c r="P65" s="72"/>
      <c r="Q65" s="71"/>
      <c r="R65" s="72"/>
      <c r="S65" s="71"/>
      <c r="T65" s="72"/>
      <c r="U65" s="71"/>
      <c r="V65" s="72"/>
    </row>
    <row r="66" spans="1:22" ht="15.75" thickBot="1" x14ac:dyDescent="0.3">
      <c r="A66" s="18" t="str">
        <f>Info!$B$11</f>
        <v>Ministral 3 14B Reasoning</v>
      </c>
      <c r="B66" s="34">
        <v>150</v>
      </c>
      <c r="C66" s="54">
        <f t="shared" si="1"/>
        <v>16</v>
      </c>
      <c r="D66" s="23">
        <v>23.04</v>
      </c>
      <c r="F66" s="73"/>
      <c r="G66" s="74"/>
      <c r="H66" s="73"/>
      <c r="I66" s="74"/>
      <c r="J66" s="73"/>
      <c r="K66" s="74"/>
      <c r="L66" s="73"/>
      <c r="M66" s="74"/>
      <c r="O66" s="73"/>
      <c r="P66" s="74"/>
      <c r="Q66" s="73"/>
      <c r="R66" s="74"/>
      <c r="S66" s="73"/>
      <c r="T66" s="74"/>
      <c r="U66" s="73"/>
      <c r="V66" s="74"/>
    </row>
    <row r="67" spans="1:22" ht="5.0999999999999996" customHeight="1" thickBot="1" x14ac:dyDescent="0.3">
      <c r="C67" s="56"/>
    </row>
    <row r="68" spans="1:22" x14ac:dyDescent="0.25">
      <c r="A68" s="16" t="str">
        <f>Info!$B$12</f>
        <v>GPT-OSS 20B</v>
      </c>
      <c r="B68" s="32">
        <v>4</v>
      </c>
      <c r="C68" s="55">
        <f t="shared" si="1"/>
        <v>11.95</v>
      </c>
      <c r="D68" s="20">
        <v>11.95</v>
      </c>
      <c r="F68" s="69"/>
      <c r="G68" s="70"/>
      <c r="H68" s="69"/>
      <c r="I68" s="70"/>
      <c r="J68" s="69"/>
      <c r="K68" s="70"/>
      <c r="L68" s="69"/>
      <c r="M68" s="70"/>
      <c r="O68" s="69"/>
      <c r="P68" s="70"/>
      <c r="Q68" s="69"/>
      <c r="R68" s="70"/>
      <c r="S68" s="69"/>
      <c r="T68" s="70"/>
      <c r="U68" s="69"/>
      <c r="V68" s="70"/>
    </row>
    <row r="69" spans="1:22" x14ac:dyDescent="0.25">
      <c r="A69" s="17" t="str">
        <f>Info!$B$12</f>
        <v>GPT-OSS 20B</v>
      </c>
      <c r="B69" s="33">
        <v>8</v>
      </c>
      <c r="C69" s="21">
        <f t="shared" si="1"/>
        <v>12.01</v>
      </c>
      <c r="D69" s="22">
        <v>12.01</v>
      </c>
      <c r="F69" s="71"/>
      <c r="G69" s="72"/>
      <c r="H69" s="71"/>
      <c r="I69" s="72"/>
      <c r="J69" s="71"/>
      <c r="K69" s="72"/>
      <c r="L69" s="71"/>
      <c r="M69" s="72"/>
      <c r="O69" s="71"/>
      <c r="P69" s="72"/>
      <c r="Q69" s="71"/>
      <c r="R69" s="72"/>
      <c r="S69" s="71"/>
      <c r="T69" s="72"/>
      <c r="U69" s="71"/>
      <c r="V69" s="72"/>
    </row>
    <row r="70" spans="1:22" x14ac:dyDescent="0.25">
      <c r="A70" s="17" t="str">
        <f>Info!$B$12</f>
        <v>GPT-OSS 20B</v>
      </c>
      <c r="B70" s="33">
        <v>20</v>
      </c>
      <c r="C70" s="21">
        <f t="shared" si="1"/>
        <v>12.2</v>
      </c>
      <c r="D70" s="22">
        <v>12.2</v>
      </c>
      <c r="F70" s="71"/>
      <c r="G70" s="72"/>
      <c r="H70" s="71"/>
      <c r="I70" s="72"/>
      <c r="J70" s="71"/>
      <c r="K70" s="72"/>
      <c r="L70" s="71"/>
      <c r="M70" s="72"/>
      <c r="O70" s="71"/>
      <c r="P70" s="72"/>
      <c r="Q70" s="71"/>
      <c r="R70" s="72"/>
      <c r="S70" s="71"/>
      <c r="T70" s="72"/>
      <c r="U70" s="71"/>
      <c r="V70" s="72"/>
    </row>
    <row r="71" spans="1:22" x14ac:dyDescent="0.25">
      <c r="A71" s="17" t="str">
        <f>Info!$B$12</f>
        <v>GPT-OSS 20B</v>
      </c>
      <c r="B71" s="33">
        <v>50</v>
      </c>
      <c r="C71" s="21">
        <f t="shared" si="1"/>
        <v>12.68</v>
      </c>
      <c r="D71" s="22">
        <v>12.68</v>
      </c>
      <c r="F71" s="71"/>
      <c r="G71" s="72"/>
      <c r="H71" s="71"/>
      <c r="I71" s="72"/>
      <c r="J71" s="71"/>
      <c r="K71" s="72"/>
      <c r="L71" s="71"/>
      <c r="M71" s="72"/>
      <c r="O71" s="71"/>
      <c r="P71" s="72"/>
      <c r="Q71" s="71"/>
      <c r="R71" s="72"/>
      <c r="S71" s="71"/>
      <c r="T71" s="72"/>
      <c r="U71" s="71"/>
      <c r="V71" s="72"/>
    </row>
    <row r="72" spans="1:22" x14ac:dyDescent="0.25">
      <c r="A72" s="17" t="str">
        <f>Info!$B$12</f>
        <v>GPT-OSS 20B</v>
      </c>
      <c r="B72" s="33">
        <v>100</v>
      </c>
      <c r="C72" s="21">
        <f t="shared" si="1"/>
        <v>13.49</v>
      </c>
      <c r="D72" s="22">
        <v>13.49</v>
      </c>
      <c r="F72" s="71"/>
      <c r="G72" s="72"/>
      <c r="H72" s="71"/>
      <c r="I72" s="72"/>
      <c r="J72" s="71"/>
      <c r="K72" s="72"/>
      <c r="L72" s="71"/>
      <c r="M72" s="72"/>
      <c r="O72" s="71"/>
      <c r="P72" s="72"/>
      <c r="Q72" s="71"/>
      <c r="R72" s="72"/>
      <c r="S72" s="71"/>
      <c r="T72" s="72"/>
      <c r="U72" s="71"/>
      <c r="V72" s="72"/>
    </row>
    <row r="73" spans="1:22" ht="15.75" thickBot="1" x14ac:dyDescent="0.3">
      <c r="A73" s="18" t="str">
        <f>Info!$B$12</f>
        <v>GPT-OSS 20B</v>
      </c>
      <c r="B73" s="34">
        <v>150</v>
      </c>
      <c r="C73" s="54" t="s">
        <v>75</v>
      </c>
      <c r="D73" s="23" t="s">
        <v>75</v>
      </c>
      <c r="F73" s="73"/>
      <c r="G73" s="74"/>
      <c r="H73" s="73"/>
      <c r="I73" s="74"/>
      <c r="J73" s="73"/>
      <c r="K73" s="74"/>
      <c r="L73" s="73"/>
      <c r="M73" s="74"/>
      <c r="O73" s="73"/>
      <c r="P73" s="74"/>
      <c r="Q73" s="73"/>
      <c r="R73" s="74"/>
      <c r="S73" s="73"/>
      <c r="T73" s="74"/>
      <c r="U73" s="73"/>
      <c r="V73" s="74"/>
    </row>
    <row r="74" spans="1:22" ht="5.0999999999999996" customHeight="1" thickBot="1" x14ac:dyDescent="0.3">
      <c r="C74" s="56"/>
    </row>
    <row r="75" spans="1:22" x14ac:dyDescent="0.25">
      <c r="A75" s="16" t="str">
        <f>Info!$B$13</f>
        <v>Gemma 3 27B</v>
      </c>
      <c r="B75" s="32">
        <v>4</v>
      </c>
      <c r="C75" s="55">
        <f t="shared" si="1"/>
        <v>12.89</v>
      </c>
      <c r="D75" s="20">
        <v>12.89</v>
      </c>
      <c r="F75" s="69"/>
      <c r="G75" s="70"/>
      <c r="H75" s="69"/>
      <c r="I75" s="70"/>
      <c r="J75" s="69"/>
      <c r="K75" s="70"/>
      <c r="L75" s="69"/>
      <c r="M75" s="70"/>
      <c r="O75" s="69"/>
      <c r="P75" s="70"/>
      <c r="Q75" s="69"/>
      <c r="R75" s="70"/>
      <c r="S75" s="69"/>
      <c r="T75" s="70"/>
      <c r="U75" s="69"/>
      <c r="V75" s="70"/>
    </row>
    <row r="76" spans="1:22" x14ac:dyDescent="0.25">
      <c r="A76" s="17" t="str">
        <f>Info!$B$13</f>
        <v>Gemma 3 27B</v>
      </c>
      <c r="B76" s="33">
        <v>8</v>
      </c>
      <c r="C76" s="21">
        <f t="shared" si="1"/>
        <v>13.77</v>
      </c>
      <c r="D76" s="22">
        <v>13.77</v>
      </c>
      <c r="F76" s="71"/>
      <c r="G76" s="72"/>
      <c r="H76" s="71"/>
      <c r="I76" s="72"/>
      <c r="J76" s="71"/>
      <c r="K76" s="72"/>
      <c r="L76" s="71"/>
      <c r="M76" s="72"/>
      <c r="O76" s="71"/>
      <c r="P76" s="72"/>
      <c r="Q76" s="71"/>
      <c r="R76" s="72"/>
      <c r="S76" s="71"/>
      <c r="T76" s="72"/>
      <c r="U76" s="71"/>
      <c r="V76" s="72"/>
    </row>
    <row r="77" spans="1:22" x14ac:dyDescent="0.25">
      <c r="A77" s="17" t="str">
        <f>Info!$B$13</f>
        <v>Gemma 3 27B</v>
      </c>
      <c r="B77" s="33">
        <v>20</v>
      </c>
      <c r="C77" s="21">
        <f t="shared" si="1"/>
        <v>16</v>
      </c>
      <c r="D77" s="22">
        <v>16.489999999999998</v>
      </c>
      <c r="F77" s="71"/>
      <c r="G77" s="72"/>
      <c r="H77" s="71"/>
      <c r="I77" s="72"/>
      <c r="J77" s="71"/>
      <c r="K77" s="72"/>
      <c r="L77" s="71"/>
      <c r="M77" s="72"/>
      <c r="O77" s="71"/>
      <c r="P77" s="72"/>
      <c r="Q77" s="71"/>
      <c r="R77" s="72"/>
      <c r="S77" s="71"/>
      <c r="T77" s="72"/>
      <c r="U77" s="71"/>
      <c r="V77" s="72"/>
    </row>
    <row r="78" spans="1:22" x14ac:dyDescent="0.25">
      <c r="A78" s="17" t="str">
        <f>Info!$B$13</f>
        <v>Gemma 3 27B</v>
      </c>
      <c r="B78" s="33">
        <v>50</v>
      </c>
      <c r="C78" s="21">
        <f t="shared" si="1"/>
        <v>16</v>
      </c>
      <c r="D78" s="22">
        <v>23.29</v>
      </c>
      <c r="F78" s="71"/>
      <c r="G78" s="72"/>
      <c r="H78" s="71"/>
      <c r="I78" s="72"/>
      <c r="J78" s="71"/>
      <c r="K78" s="72"/>
      <c r="L78" s="71"/>
      <c r="M78" s="72"/>
      <c r="O78" s="71"/>
      <c r="P78" s="72"/>
      <c r="Q78" s="71"/>
      <c r="R78" s="72"/>
      <c r="S78" s="71"/>
      <c r="T78" s="72"/>
      <c r="U78" s="71"/>
      <c r="V78" s="72"/>
    </row>
    <row r="79" spans="1:22" x14ac:dyDescent="0.25">
      <c r="A79" s="17" t="str">
        <f>Info!$B$13</f>
        <v>Gemma 3 27B</v>
      </c>
      <c r="B79" s="33">
        <v>100</v>
      </c>
      <c r="C79" s="21">
        <f t="shared" si="1"/>
        <v>16</v>
      </c>
      <c r="D79" s="22">
        <v>34.619999999999997</v>
      </c>
      <c r="F79" s="71"/>
      <c r="G79" s="72"/>
      <c r="H79" s="71"/>
      <c r="I79" s="72"/>
      <c r="J79" s="71"/>
      <c r="K79" s="72"/>
      <c r="L79" s="71"/>
      <c r="M79" s="72"/>
      <c r="O79" s="71"/>
      <c r="P79" s="72"/>
      <c r="Q79" s="71"/>
      <c r="R79" s="72"/>
      <c r="S79" s="71"/>
      <c r="T79" s="72"/>
      <c r="U79" s="71"/>
      <c r="V79" s="72"/>
    </row>
    <row r="80" spans="1:22" ht="15.75" thickBot="1" x14ac:dyDescent="0.3">
      <c r="A80" s="18" t="str">
        <f>Info!$B$13</f>
        <v>Gemma 3 27B</v>
      </c>
      <c r="B80" s="34">
        <v>150</v>
      </c>
      <c r="C80" s="54" t="s">
        <v>75</v>
      </c>
      <c r="D80" s="23" t="s">
        <v>75</v>
      </c>
      <c r="F80" s="73"/>
      <c r="G80" s="74"/>
      <c r="H80" s="73"/>
      <c r="I80" s="74"/>
      <c r="J80" s="73"/>
      <c r="K80" s="74"/>
      <c r="L80" s="73"/>
      <c r="M80" s="74"/>
      <c r="O80" s="73"/>
      <c r="P80" s="74"/>
      <c r="Q80" s="73"/>
      <c r="R80" s="74"/>
      <c r="S80" s="73"/>
      <c r="T80" s="74"/>
      <c r="U80" s="73"/>
      <c r="V80" s="74"/>
    </row>
    <row r="81" spans="1:22" ht="5.0999999999999996" customHeight="1" thickBot="1" x14ac:dyDescent="0.3">
      <c r="C81" s="56"/>
    </row>
    <row r="82" spans="1:22" x14ac:dyDescent="0.25">
      <c r="A82" s="16" t="str">
        <f>Info!$B$14</f>
        <v>Gemma 4 26B A4B</v>
      </c>
      <c r="B82" s="32">
        <v>4</v>
      </c>
      <c r="C82" s="55">
        <f t="shared" si="1"/>
        <v>16</v>
      </c>
      <c r="D82" s="20">
        <v>17.93</v>
      </c>
      <c r="F82" s="69"/>
      <c r="G82" s="70"/>
      <c r="H82" s="69"/>
      <c r="I82" s="70"/>
      <c r="J82" s="69"/>
      <c r="K82" s="70"/>
      <c r="L82" s="69"/>
      <c r="M82" s="70"/>
      <c r="O82" s="69"/>
      <c r="P82" s="70"/>
      <c r="Q82" s="69"/>
      <c r="R82" s="70"/>
      <c r="S82" s="69"/>
      <c r="T82" s="70"/>
      <c r="U82" s="69"/>
      <c r="V82" s="70"/>
    </row>
    <row r="83" spans="1:22" x14ac:dyDescent="0.25">
      <c r="A83" s="17" t="str">
        <f>Info!$B$14</f>
        <v>Gemma 4 26B A4B</v>
      </c>
      <c r="B83" s="33">
        <v>8</v>
      </c>
      <c r="C83" s="21">
        <f t="shared" si="1"/>
        <v>16</v>
      </c>
      <c r="D83" s="22">
        <v>18.190000000000001</v>
      </c>
      <c r="F83" s="71"/>
      <c r="G83" s="72"/>
      <c r="H83" s="71"/>
      <c r="I83" s="72"/>
      <c r="J83" s="71"/>
      <c r="K83" s="72"/>
      <c r="L83" s="71"/>
      <c r="M83" s="72"/>
      <c r="O83" s="71"/>
      <c r="P83" s="72"/>
      <c r="Q83" s="71"/>
      <c r="R83" s="72"/>
      <c r="S83" s="71"/>
      <c r="T83" s="72"/>
      <c r="U83" s="71"/>
      <c r="V83" s="72"/>
    </row>
    <row r="84" spans="1:22" x14ac:dyDescent="0.25">
      <c r="A84" s="17" t="str">
        <f>Info!$B$14</f>
        <v>Gemma 4 26B A4B</v>
      </c>
      <c r="B84" s="33">
        <v>20</v>
      </c>
      <c r="C84" s="21">
        <f t="shared" si="1"/>
        <v>16</v>
      </c>
      <c r="D84" s="22">
        <v>19.010000000000002</v>
      </c>
      <c r="F84" s="71"/>
      <c r="G84" s="72"/>
      <c r="H84" s="71"/>
      <c r="I84" s="72"/>
      <c r="J84" s="71"/>
      <c r="K84" s="72"/>
      <c r="L84" s="71"/>
      <c r="M84" s="72"/>
      <c r="O84" s="71"/>
      <c r="P84" s="72"/>
      <c r="Q84" s="71"/>
      <c r="R84" s="72"/>
      <c r="S84" s="71"/>
      <c r="T84" s="72"/>
      <c r="U84" s="71"/>
      <c r="V84" s="72"/>
    </row>
    <row r="85" spans="1:22" x14ac:dyDescent="0.25">
      <c r="A85" s="17" t="str">
        <f>Info!$B$14</f>
        <v>Gemma 4 26B A4B</v>
      </c>
      <c r="B85" s="33">
        <v>50</v>
      </c>
      <c r="C85" s="21">
        <f t="shared" ref="C85:C121" si="2">IF(D85 &lt;= 16,D85,16)</f>
        <v>16</v>
      </c>
      <c r="D85" s="22">
        <v>21.05</v>
      </c>
      <c r="F85" s="71"/>
      <c r="G85" s="72"/>
      <c r="H85" s="71"/>
      <c r="I85" s="72"/>
      <c r="J85" s="71"/>
      <c r="K85" s="72"/>
      <c r="L85" s="71"/>
      <c r="M85" s="72"/>
      <c r="O85" s="71"/>
      <c r="P85" s="72"/>
      <c r="Q85" s="71"/>
      <c r="R85" s="72"/>
      <c r="S85" s="71"/>
      <c r="T85" s="72"/>
      <c r="U85" s="71"/>
      <c r="V85" s="72"/>
    </row>
    <row r="86" spans="1:22" x14ac:dyDescent="0.25">
      <c r="A86" s="17" t="str">
        <f>Info!$B$14</f>
        <v>Gemma 4 26B A4B</v>
      </c>
      <c r="B86" s="33">
        <v>100</v>
      </c>
      <c r="C86" s="21">
        <f t="shared" si="2"/>
        <v>16</v>
      </c>
      <c r="D86" s="22">
        <v>24.44</v>
      </c>
      <c r="F86" s="71"/>
      <c r="G86" s="72"/>
      <c r="H86" s="71"/>
      <c r="I86" s="72"/>
      <c r="J86" s="71"/>
      <c r="K86" s="72"/>
      <c r="L86" s="71"/>
      <c r="M86" s="72"/>
      <c r="O86" s="71"/>
      <c r="P86" s="72"/>
      <c r="Q86" s="71"/>
      <c r="R86" s="72"/>
      <c r="S86" s="71"/>
      <c r="T86" s="72"/>
      <c r="U86" s="71"/>
      <c r="V86" s="72"/>
    </row>
    <row r="87" spans="1:22" ht="15.75" thickBot="1" x14ac:dyDescent="0.3">
      <c r="A87" s="18" t="str">
        <f>Info!$B$14</f>
        <v>Gemma 4 26B A4B</v>
      </c>
      <c r="B87" s="34">
        <v>150</v>
      </c>
      <c r="C87" s="54">
        <f t="shared" si="2"/>
        <v>16</v>
      </c>
      <c r="D87" s="23">
        <v>27.84</v>
      </c>
      <c r="F87" s="73"/>
      <c r="G87" s="74"/>
      <c r="H87" s="73"/>
      <c r="I87" s="74"/>
      <c r="J87" s="73"/>
      <c r="K87" s="74"/>
      <c r="L87" s="73"/>
      <c r="M87" s="74"/>
      <c r="O87" s="73"/>
      <c r="P87" s="74"/>
      <c r="Q87" s="73"/>
      <c r="R87" s="74"/>
      <c r="S87" s="73"/>
      <c r="T87" s="74"/>
      <c r="U87" s="73"/>
      <c r="V87" s="74"/>
    </row>
    <row r="88" spans="1:22" ht="5.0999999999999996" customHeight="1" thickBot="1" x14ac:dyDescent="0.3">
      <c r="C88" s="56"/>
    </row>
    <row r="89" spans="1:22" x14ac:dyDescent="0.25">
      <c r="A89" s="16" t="str">
        <f>Info!$B$15</f>
        <v>Qwen3 Coder 30B</v>
      </c>
      <c r="B89" s="32">
        <v>4</v>
      </c>
      <c r="C89" s="55">
        <f t="shared" si="2"/>
        <v>16</v>
      </c>
      <c r="D89" s="20">
        <v>18.37</v>
      </c>
      <c r="F89" s="69"/>
      <c r="G89" s="70"/>
      <c r="H89" s="69"/>
      <c r="I89" s="70"/>
      <c r="J89" s="69"/>
      <c r="K89" s="70"/>
      <c r="L89" s="69"/>
      <c r="M89" s="70"/>
      <c r="O89" s="69"/>
      <c r="P89" s="70"/>
      <c r="Q89" s="69"/>
      <c r="R89" s="70"/>
      <c r="S89" s="69"/>
      <c r="T89" s="70"/>
      <c r="U89" s="69"/>
      <c r="V89" s="70"/>
    </row>
    <row r="90" spans="1:22" x14ac:dyDescent="0.25">
      <c r="A90" s="17" t="str">
        <f>Info!$B$15</f>
        <v>Qwen3 Coder 30B</v>
      </c>
      <c r="B90" s="33">
        <v>8</v>
      </c>
      <c r="C90" s="21">
        <f t="shared" si="2"/>
        <v>16</v>
      </c>
      <c r="D90" s="22">
        <v>18.46</v>
      </c>
      <c r="F90" s="71"/>
      <c r="G90" s="72"/>
      <c r="H90" s="71"/>
      <c r="I90" s="72"/>
      <c r="J90" s="71"/>
      <c r="K90" s="72"/>
      <c r="L90" s="71"/>
      <c r="M90" s="72"/>
      <c r="O90" s="71"/>
      <c r="P90" s="72"/>
      <c r="Q90" s="71"/>
      <c r="R90" s="72"/>
      <c r="S90" s="71"/>
      <c r="T90" s="72"/>
      <c r="U90" s="71"/>
      <c r="V90" s="72"/>
    </row>
    <row r="91" spans="1:22" x14ac:dyDescent="0.25">
      <c r="A91" s="17" t="str">
        <f>Info!$B$15</f>
        <v>Qwen3 Coder 30B</v>
      </c>
      <c r="B91" s="33">
        <v>20</v>
      </c>
      <c r="C91" s="21">
        <f t="shared" si="2"/>
        <v>16</v>
      </c>
      <c r="D91" s="22">
        <v>18.73</v>
      </c>
      <c r="F91" s="71"/>
      <c r="G91" s="72"/>
      <c r="H91" s="71"/>
      <c r="I91" s="72"/>
      <c r="J91" s="71"/>
      <c r="K91" s="72"/>
      <c r="L91" s="71"/>
      <c r="M91" s="72"/>
      <c r="O91" s="71"/>
      <c r="P91" s="72"/>
      <c r="Q91" s="71"/>
      <c r="R91" s="72"/>
      <c r="S91" s="71"/>
      <c r="T91" s="72"/>
      <c r="U91" s="71"/>
      <c r="V91" s="72"/>
    </row>
    <row r="92" spans="1:22" x14ac:dyDescent="0.25">
      <c r="A92" s="17" t="str">
        <f>Info!$B$15</f>
        <v>Qwen3 Coder 30B</v>
      </c>
      <c r="B92" s="33">
        <v>50</v>
      </c>
      <c r="C92" s="21">
        <f t="shared" si="2"/>
        <v>16</v>
      </c>
      <c r="D92" s="22">
        <v>19.420000000000002</v>
      </c>
      <c r="F92" s="71"/>
      <c r="G92" s="72"/>
      <c r="H92" s="71"/>
      <c r="I92" s="72"/>
      <c r="J92" s="71"/>
      <c r="K92" s="72"/>
      <c r="L92" s="71"/>
      <c r="M92" s="72"/>
      <c r="O92" s="71"/>
      <c r="P92" s="72"/>
      <c r="Q92" s="71"/>
      <c r="R92" s="72"/>
      <c r="S92" s="71"/>
      <c r="T92" s="72"/>
      <c r="U92" s="71"/>
      <c r="V92" s="72"/>
    </row>
    <row r="93" spans="1:22" x14ac:dyDescent="0.25">
      <c r="A93" s="17" t="str">
        <f>Info!$B$15</f>
        <v>Qwen3 Coder 30B</v>
      </c>
      <c r="B93" s="33">
        <v>100</v>
      </c>
      <c r="C93" s="21">
        <f t="shared" si="2"/>
        <v>16</v>
      </c>
      <c r="D93" s="22">
        <v>20.55</v>
      </c>
      <c r="F93" s="71"/>
      <c r="G93" s="72"/>
      <c r="H93" s="71"/>
      <c r="I93" s="72"/>
      <c r="J93" s="71"/>
      <c r="K93" s="72"/>
      <c r="L93" s="71"/>
      <c r="M93" s="72"/>
      <c r="O93" s="71"/>
      <c r="P93" s="72"/>
      <c r="Q93" s="71"/>
      <c r="R93" s="72"/>
      <c r="S93" s="71"/>
      <c r="T93" s="72"/>
      <c r="U93" s="71"/>
      <c r="V93" s="72"/>
    </row>
    <row r="94" spans="1:22" ht="15.75" thickBot="1" x14ac:dyDescent="0.3">
      <c r="A94" s="18" t="str">
        <f>Info!$B$15</f>
        <v>Qwen3 Coder 30B</v>
      </c>
      <c r="B94" s="34">
        <v>150</v>
      </c>
      <c r="C94" s="54">
        <f t="shared" si="2"/>
        <v>16</v>
      </c>
      <c r="D94" s="23">
        <v>21.69</v>
      </c>
      <c r="F94" s="73"/>
      <c r="G94" s="74"/>
      <c r="H94" s="73"/>
      <c r="I94" s="74"/>
      <c r="J94" s="73"/>
      <c r="K94" s="74"/>
      <c r="L94" s="73"/>
      <c r="M94" s="74"/>
      <c r="O94" s="73"/>
      <c r="P94" s="74"/>
      <c r="Q94" s="73"/>
      <c r="R94" s="74"/>
      <c r="S94" s="73"/>
      <c r="T94" s="74"/>
      <c r="U94" s="73"/>
      <c r="V94" s="74"/>
    </row>
    <row r="95" spans="1:22" ht="5.0999999999999996" customHeight="1" thickBot="1" x14ac:dyDescent="0.3">
      <c r="C95" s="56"/>
    </row>
    <row r="96" spans="1:22" x14ac:dyDescent="0.25">
      <c r="A96" s="16" t="str">
        <f>Info!$B$16</f>
        <v>Qwen3.5 35B A3B</v>
      </c>
      <c r="B96" s="32">
        <v>4</v>
      </c>
      <c r="C96" s="55">
        <f t="shared" si="2"/>
        <v>16</v>
      </c>
      <c r="D96" s="20">
        <v>21.73</v>
      </c>
      <c r="F96" s="69"/>
      <c r="G96" s="70"/>
      <c r="H96" s="69"/>
      <c r="I96" s="70"/>
      <c r="J96" s="69"/>
      <c r="K96" s="70"/>
      <c r="L96" s="69"/>
      <c r="M96" s="70"/>
      <c r="O96" s="69"/>
      <c r="P96" s="70"/>
      <c r="Q96" s="69"/>
      <c r="R96" s="70"/>
      <c r="S96" s="69"/>
      <c r="T96" s="70"/>
      <c r="U96" s="69"/>
      <c r="V96" s="70"/>
    </row>
    <row r="97" spans="1:22" x14ac:dyDescent="0.25">
      <c r="A97" s="17" t="str">
        <f>Info!$B$16</f>
        <v>Qwen3.5 35B A3B</v>
      </c>
      <c r="B97" s="33">
        <v>8</v>
      </c>
      <c r="C97" s="21">
        <f t="shared" si="2"/>
        <v>16</v>
      </c>
      <c r="D97" s="22">
        <v>21.81</v>
      </c>
      <c r="F97" s="71"/>
      <c r="G97" s="72"/>
      <c r="H97" s="71"/>
      <c r="I97" s="72"/>
      <c r="J97" s="71"/>
      <c r="K97" s="72"/>
      <c r="L97" s="71"/>
      <c r="M97" s="72"/>
      <c r="O97" s="71"/>
      <c r="P97" s="72"/>
      <c r="Q97" s="71"/>
      <c r="R97" s="72"/>
      <c r="S97" s="71"/>
      <c r="T97" s="72"/>
      <c r="U97" s="71"/>
      <c r="V97" s="72"/>
    </row>
    <row r="98" spans="1:22" x14ac:dyDescent="0.25">
      <c r="A98" s="17" t="str">
        <f>Info!$B$16</f>
        <v>Qwen3.5 35B A3B</v>
      </c>
      <c r="B98" s="33">
        <v>20</v>
      </c>
      <c r="C98" s="21">
        <f t="shared" si="2"/>
        <v>16</v>
      </c>
      <c r="D98" s="22">
        <v>22.03</v>
      </c>
      <c r="F98" s="71"/>
      <c r="G98" s="72"/>
      <c r="H98" s="71"/>
      <c r="I98" s="72"/>
      <c r="J98" s="71"/>
      <c r="K98" s="72"/>
      <c r="L98" s="71"/>
      <c r="M98" s="72"/>
      <c r="O98" s="71"/>
      <c r="P98" s="72"/>
      <c r="Q98" s="71"/>
      <c r="R98" s="72"/>
      <c r="S98" s="71"/>
      <c r="T98" s="72"/>
      <c r="U98" s="71"/>
      <c r="V98" s="72"/>
    </row>
    <row r="99" spans="1:22" x14ac:dyDescent="0.25">
      <c r="A99" s="17" t="str">
        <f>Info!$B$16</f>
        <v>Qwen3.5 35B A3B</v>
      </c>
      <c r="B99" s="33">
        <v>50</v>
      </c>
      <c r="C99" s="21">
        <f t="shared" si="2"/>
        <v>16</v>
      </c>
      <c r="D99" s="22">
        <v>22.6</v>
      </c>
      <c r="F99" s="71"/>
      <c r="G99" s="72"/>
      <c r="H99" s="71"/>
      <c r="I99" s="72"/>
      <c r="J99" s="71"/>
      <c r="K99" s="72"/>
      <c r="L99" s="71"/>
      <c r="M99" s="72"/>
      <c r="O99" s="71"/>
      <c r="P99" s="72"/>
      <c r="Q99" s="71"/>
      <c r="R99" s="72"/>
      <c r="S99" s="71"/>
      <c r="T99" s="72"/>
      <c r="U99" s="71"/>
      <c r="V99" s="72"/>
    </row>
    <row r="100" spans="1:22" x14ac:dyDescent="0.25">
      <c r="A100" s="17" t="str">
        <f>Info!$B$16</f>
        <v>Qwen3.5 35B A3B</v>
      </c>
      <c r="B100" s="33">
        <v>100</v>
      </c>
      <c r="C100" s="21">
        <f t="shared" si="2"/>
        <v>16</v>
      </c>
      <c r="D100" s="22">
        <v>23.55</v>
      </c>
      <c r="F100" s="71"/>
      <c r="G100" s="72"/>
      <c r="H100" s="71"/>
      <c r="I100" s="72"/>
      <c r="J100" s="71"/>
      <c r="K100" s="72"/>
      <c r="L100" s="71"/>
      <c r="M100" s="72"/>
      <c r="O100" s="71"/>
      <c r="P100" s="72"/>
      <c r="Q100" s="71"/>
      <c r="R100" s="72"/>
      <c r="S100" s="71"/>
      <c r="T100" s="72"/>
      <c r="U100" s="71"/>
      <c r="V100" s="72"/>
    </row>
    <row r="101" spans="1:22" ht="15.75" thickBot="1" x14ac:dyDescent="0.3">
      <c r="A101" s="18" t="str">
        <f>Info!$B$16</f>
        <v>Qwen3.5 35B A3B</v>
      </c>
      <c r="B101" s="34">
        <v>150</v>
      </c>
      <c r="C101" s="54">
        <f t="shared" si="2"/>
        <v>16</v>
      </c>
      <c r="D101" s="23">
        <v>24.5</v>
      </c>
      <c r="F101" s="73"/>
      <c r="G101" s="74"/>
      <c r="H101" s="73"/>
      <c r="I101" s="74"/>
      <c r="J101" s="73"/>
      <c r="K101" s="74"/>
      <c r="L101" s="73"/>
      <c r="M101" s="74"/>
      <c r="O101" s="73"/>
      <c r="P101" s="74"/>
      <c r="Q101" s="73"/>
      <c r="R101" s="74"/>
      <c r="S101" s="73"/>
      <c r="T101" s="74"/>
      <c r="U101" s="73"/>
      <c r="V101" s="74"/>
    </row>
    <row r="102" spans="1:22" ht="5.0999999999999996" customHeight="1" thickBot="1" x14ac:dyDescent="0.3">
      <c r="C102" s="56"/>
    </row>
    <row r="103" spans="1:22" x14ac:dyDescent="0.25">
      <c r="A103" s="16" t="str">
        <f>Info!$B$17</f>
        <v>Llama 2 70B Chat</v>
      </c>
      <c r="B103" s="32">
        <v>4</v>
      </c>
      <c r="C103" s="55">
        <f t="shared" si="2"/>
        <v>16</v>
      </c>
      <c r="D103" s="20">
        <v>41.26</v>
      </c>
      <c r="F103" s="69"/>
      <c r="G103" s="70"/>
      <c r="H103" s="69"/>
      <c r="I103" s="70"/>
      <c r="J103" s="69"/>
      <c r="K103" s="70"/>
      <c r="L103" s="69"/>
      <c r="M103" s="70"/>
      <c r="O103" s="69"/>
      <c r="P103" s="70"/>
      <c r="Q103" s="69"/>
      <c r="R103" s="70"/>
      <c r="S103" s="69"/>
      <c r="T103" s="70"/>
      <c r="U103" s="69"/>
      <c r="V103" s="70"/>
    </row>
    <row r="104" spans="1:22" x14ac:dyDescent="0.25">
      <c r="A104" s="17" t="str">
        <f>Info!$B$17</f>
        <v>Llama 2 70B Chat</v>
      </c>
      <c r="B104" s="33">
        <v>8</v>
      </c>
      <c r="C104" s="21" t="s">
        <v>75</v>
      </c>
      <c r="D104" s="22" t="s">
        <v>75</v>
      </c>
      <c r="F104" s="71"/>
      <c r="G104" s="72"/>
      <c r="H104" s="71"/>
      <c r="I104" s="72"/>
      <c r="J104" s="71"/>
      <c r="K104" s="72"/>
      <c r="L104" s="71"/>
      <c r="M104" s="72"/>
      <c r="O104" s="71"/>
      <c r="P104" s="72"/>
      <c r="Q104" s="71"/>
      <c r="R104" s="72"/>
      <c r="S104" s="71"/>
      <c r="T104" s="72"/>
      <c r="U104" s="71"/>
      <c r="V104" s="72"/>
    </row>
    <row r="105" spans="1:22" x14ac:dyDescent="0.25">
      <c r="A105" s="17" t="str">
        <f>Info!$B$17</f>
        <v>Llama 2 70B Chat</v>
      </c>
      <c r="B105" s="33">
        <v>20</v>
      </c>
      <c r="C105" s="21" t="s">
        <v>75</v>
      </c>
      <c r="D105" s="22" t="s">
        <v>75</v>
      </c>
      <c r="F105" s="71"/>
      <c r="G105" s="72"/>
      <c r="H105" s="71"/>
      <c r="I105" s="72"/>
      <c r="J105" s="71"/>
      <c r="K105" s="72"/>
      <c r="L105" s="71"/>
      <c r="M105" s="72"/>
      <c r="O105" s="71"/>
      <c r="P105" s="72"/>
      <c r="Q105" s="71"/>
      <c r="R105" s="72"/>
      <c r="S105" s="71"/>
      <c r="T105" s="72"/>
      <c r="U105" s="71"/>
      <c r="V105" s="72"/>
    </row>
    <row r="106" spans="1:22" x14ac:dyDescent="0.25">
      <c r="A106" s="17" t="str">
        <f>Info!$B$17</f>
        <v>Llama 2 70B Chat</v>
      </c>
      <c r="B106" s="33">
        <v>50</v>
      </c>
      <c r="C106" s="21" t="s">
        <v>75</v>
      </c>
      <c r="D106" s="22" t="s">
        <v>75</v>
      </c>
      <c r="F106" s="71"/>
      <c r="G106" s="72"/>
      <c r="H106" s="71"/>
      <c r="I106" s="72"/>
      <c r="J106" s="71"/>
      <c r="K106" s="72"/>
      <c r="L106" s="71"/>
      <c r="M106" s="72"/>
      <c r="O106" s="71"/>
      <c r="P106" s="72"/>
      <c r="Q106" s="71"/>
      <c r="R106" s="72"/>
      <c r="S106" s="71"/>
      <c r="T106" s="72"/>
      <c r="U106" s="71"/>
      <c r="V106" s="72"/>
    </row>
    <row r="107" spans="1:22" x14ac:dyDescent="0.25">
      <c r="A107" s="17" t="str">
        <f>Info!$B$17</f>
        <v>Llama 2 70B Chat</v>
      </c>
      <c r="B107" s="33">
        <v>100</v>
      </c>
      <c r="C107" s="21" t="s">
        <v>75</v>
      </c>
      <c r="D107" s="22" t="s">
        <v>75</v>
      </c>
      <c r="F107" s="71"/>
      <c r="G107" s="72"/>
      <c r="H107" s="71"/>
      <c r="I107" s="72"/>
      <c r="J107" s="71"/>
      <c r="K107" s="72"/>
      <c r="L107" s="71"/>
      <c r="M107" s="72"/>
      <c r="O107" s="71"/>
      <c r="P107" s="72"/>
      <c r="Q107" s="71"/>
      <c r="R107" s="72"/>
      <c r="S107" s="71"/>
      <c r="T107" s="72"/>
      <c r="U107" s="71"/>
      <c r="V107" s="72"/>
    </row>
    <row r="108" spans="1:22" ht="15.75" thickBot="1" x14ac:dyDescent="0.3">
      <c r="A108" s="18" t="str">
        <f>Info!$B$17</f>
        <v>Llama 2 70B Chat</v>
      </c>
      <c r="B108" s="34">
        <v>150</v>
      </c>
      <c r="C108" s="54" t="s">
        <v>75</v>
      </c>
      <c r="D108" s="23" t="s">
        <v>75</v>
      </c>
      <c r="F108" s="73"/>
      <c r="G108" s="74"/>
      <c r="H108" s="73"/>
      <c r="I108" s="74"/>
      <c r="J108" s="73"/>
      <c r="K108" s="74"/>
      <c r="L108" s="73"/>
      <c r="M108" s="74"/>
      <c r="O108" s="73"/>
      <c r="P108" s="74"/>
      <c r="Q108" s="73"/>
      <c r="R108" s="74"/>
      <c r="S108" s="73"/>
      <c r="T108" s="74"/>
      <c r="U108" s="73"/>
      <c r="V108" s="74"/>
    </row>
    <row r="109" spans="1:22" ht="5.0999999999999996" customHeight="1" thickBot="1" x14ac:dyDescent="0.3">
      <c r="C109" s="56"/>
    </row>
    <row r="110" spans="1:22" x14ac:dyDescent="0.25">
      <c r="A110" s="16" t="str">
        <f>Info!$B$18</f>
        <v>Qwen3 Coder Next</v>
      </c>
      <c r="B110" s="32">
        <v>4</v>
      </c>
      <c r="C110" s="55">
        <f t="shared" si="2"/>
        <v>16</v>
      </c>
      <c r="D110" s="20">
        <v>47.66</v>
      </c>
      <c r="F110" s="69"/>
      <c r="G110" s="70"/>
      <c r="H110" s="69"/>
      <c r="I110" s="70"/>
      <c r="J110" s="69"/>
      <c r="K110" s="70"/>
      <c r="L110" s="69"/>
      <c r="M110" s="70"/>
      <c r="O110" s="69"/>
      <c r="P110" s="70"/>
      <c r="Q110" s="69"/>
      <c r="R110" s="70"/>
      <c r="S110" s="69"/>
      <c r="T110" s="70"/>
      <c r="U110" s="69"/>
      <c r="V110" s="70"/>
    </row>
    <row r="111" spans="1:22" x14ac:dyDescent="0.25">
      <c r="A111" s="17" t="str">
        <f>Info!$B$18</f>
        <v>Qwen3 Coder Next</v>
      </c>
      <c r="B111" s="33">
        <v>8</v>
      </c>
      <c r="C111" s="21">
        <f t="shared" si="2"/>
        <v>16</v>
      </c>
      <c r="D111" s="22">
        <v>47.75</v>
      </c>
      <c r="F111" s="71"/>
      <c r="G111" s="72"/>
      <c r="H111" s="71"/>
      <c r="I111" s="72"/>
      <c r="J111" s="71"/>
      <c r="K111" s="72"/>
      <c r="L111" s="71"/>
      <c r="M111" s="72"/>
      <c r="O111" s="71"/>
      <c r="P111" s="72"/>
      <c r="Q111" s="71"/>
      <c r="R111" s="72"/>
      <c r="S111" s="71"/>
      <c r="T111" s="72"/>
      <c r="U111" s="71"/>
      <c r="V111" s="72"/>
    </row>
    <row r="112" spans="1:22" x14ac:dyDescent="0.25">
      <c r="A112" s="17" t="str">
        <f>Info!$B$18</f>
        <v>Qwen3 Coder Next</v>
      </c>
      <c r="B112" s="33">
        <v>20</v>
      </c>
      <c r="C112" s="21">
        <f t="shared" si="2"/>
        <v>16</v>
      </c>
      <c r="D112" s="22">
        <v>48.02</v>
      </c>
      <c r="F112" s="71"/>
      <c r="G112" s="72"/>
      <c r="H112" s="71"/>
      <c r="I112" s="72"/>
      <c r="J112" s="71"/>
      <c r="K112" s="72"/>
      <c r="L112" s="71"/>
      <c r="M112" s="72"/>
      <c r="O112" s="71"/>
      <c r="P112" s="72"/>
      <c r="Q112" s="71"/>
      <c r="R112" s="72"/>
      <c r="S112" s="71"/>
      <c r="T112" s="72"/>
      <c r="U112" s="71"/>
      <c r="V112" s="72"/>
    </row>
    <row r="113" spans="1:22" x14ac:dyDescent="0.25">
      <c r="A113" s="17" t="str">
        <f>Info!$B$18</f>
        <v>Qwen3 Coder Next</v>
      </c>
      <c r="B113" s="33">
        <v>50</v>
      </c>
      <c r="C113" s="21">
        <f t="shared" si="2"/>
        <v>16</v>
      </c>
      <c r="D113" s="22">
        <v>48.71</v>
      </c>
      <c r="F113" s="71"/>
      <c r="G113" s="72"/>
      <c r="H113" s="71"/>
      <c r="I113" s="72"/>
      <c r="J113" s="71"/>
      <c r="K113" s="72"/>
      <c r="L113" s="71"/>
      <c r="M113" s="72"/>
      <c r="O113" s="71"/>
      <c r="P113" s="72"/>
      <c r="Q113" s="71"/>
      <c r="R113" s="72"/>
      <c r="S113" s="71"/>
      <c r="T113" s="72"/>
      <c r="U113" s="71"/>
      <c r="V113" s="72"/>
    </row>
    <row r="114" spans="1:22" x14ac:dyDescent="0.25">
      <c r="A114" s="17" t="str">
        <f>Info!$B$18</f>
        <v>Qwen3 Coder Next</v>
      </c>
      <c r="B114" s="33">
        <v>100</v>
      </c>
      <c r="C114" s="21">
        <f t="shared" si="2"/>
        <v>16</v>
      </c>
      <c r="D114" s="22">
        <v>49.84</v>
      </c>
      <c r="F114" s="71"/>
      <c r="G114" s="72"/>
      <c r="H114" s="71"/>
      <c r="I114" s="72"/>
      <c r="J114" s="71"/>
      <c r="K114" s="72"/>
      <c r="L114" s="71"/>
      <c r="M114" s="72"/>
      <c r="O114" s="71"/>
      <c r="P114" s="72"/>
      <c r="Q114" s="71"/>
      <c r="R114" s="72"/>
      <c r="S114" s="71"/>
      <c r="T114" s="72"/>
      <c r="U114" s="71"/>
      <c r="V114" s="72"/>
    </row>
    <row r="115" spans="1:22" ht="15.75" thickBot="1" x14ac:dyDescent="0.3">
      <c r="A115" s="18" t="str">
        <f>Info!$B$18</f>
        <v>Qwen3 Coder Next</v>
      </c>
      <c r="B115" s="34">
        <v>150</v>
      </c>
      <c r="C115" s="54">
        <f t="shared" si="2"/>
        <v>16</v>
      </c>
      <c r="D115" s="23">
        <v>50.98</v>
      </c>
      <c r="F115" s="73"/>
      <c r="G115" s="74"/>
      <c r="H115" s="73"/>
      <c r="I115" s="74"/>
      <c r="J115" s="73"/>
      <c r="K115" s="74"/>
      <c r="L115" s="73"/>
      <c r="M115" s="74"/>
      <c r="O115" s="73"/>
      <c r="P115" s="74"/>
      <c r="Q115" s="73"/>
      <c r="R115" s="74"/>
      <c r="S115" s="73"/>
      <c r="T115" s="74"/>
      <c r="U115" s="73"/>
      <c r="V115" s="74"/>
    </row>
    <row r="116" spans="1:22" ht="5.0999999999999996" customHeight="1" thickBot="1" x14ac:dyDescent="0.3">
      <c r="C116" s="56"/>
    </row>
    <row r="117" spans="1:22" x14ac:dyDescent="0.25">
      <c r="A117" s="16" t="str">
        <f>Info!$B$19</f>
        <v>GPT-OSS 120B</v>
      </c>
      <c r="B117" s="32">
        <v>4</v>
      </c>
      <c r="C117" s="55">
        <f t="shared" si="2"/>
        <v>16</v>
      </c>
      <c r="D117" s="20">
        <v>62.29</v>
      </c>
      <c r="F117" s="69"/>
      <c r="G117" s="70"/>
      <c r="H117" s="69"/>
      <c r="I117" s="70"/>
      <c r="J117" s="69"/>
      <c r="K117" s="70"/>
      <c r="L117" s="69"/>
      <c r="M117" s="70"/>
      <c r="O117" s="69"/>
      <c r="P117" s="70"/>
      <c r="Q117" s="69"/>
      <c r="R117" s="70"/>
      <c r="S117" s="69"/>
      <c r="T117" s="70"/>
      <c r="U117" s="69"/>
      <c r="V117" s="70"/>
    </row>
    <row r="118" spans="1:22" x14ac:dyDescent="0.25">
      <c r="A118" s="17" t="str">
        <f>Info!$B$19</f>
        <v>GPT-OSS 120B</v>
      </c>
      <c r="B118" s="33">
        <v>8</v>
      </c>
      <c r="C118" s="21">
        <f t="shared" si="2"/>
        <v>16</v>
      </c>
      <c r="D118" s="22">
        <v>62.38</v>
      </c>
      <c r="F118" s="71"/>
      <c r="G118" s="72"/>
      <c r="H118" s="71"/>
      <c r="I118" s="72"/>
      <c r="J118" s="71"/>
      <c r="K118" s="72"/>
      <c r="L118" s="71"/>
      <c r="M118" s="72"/>
      <c r="O118" s="71"/>
      <c r="P118" s="72"/>
      <c r="Q118" s="71"/>
      <c r="R118" s="72"/>
      <c r="S118" s="71"/>
      <c r="T118" s="72"/>
      <c r="U118" s="71"/>
      <c r="V118" s="72"/>
    </row>
    <row r="119" spans="1:22" x14ac:dyDescent="0.25">
      <c r="A119" s="17" t="str">
        <f>Info!$B$19</f>
        <v>GPT-OSS 120B</v>
      </c>
      <c r="B119" s="33">
        <v>20</v>
      </c>
      <c r="C119" s="21">
        <f t="shared" si="2"/>
        <v>16</v>
      </c>
      <c r="D119" s="22">
        <v>62.67</v>
      </c>
      <c r="F119" s="71"/>
      <c r="G119" s="72"/>
      <c r="H119" s="71"/>
      <c r="I119" s="72"/>
      <c r="J119" s="71"/>
      <c r="K119" s="72"/>
      <c r="L119" s="71"/>
      <c r="M119" s="72"/>
      <c r="O119" s="71"/>
      <c r="P119" s="72"/>
      <c r="Q119" s="71"/>
      <c r="R119" s="72"/>
      <c r="S119" s="71"/>
      <c r="T119" s="72"/>
      <c r="U119" s="71"/>
      <c r="V119" s="72"/>
    </row>
    <row r="120" spans="1:22" x14ac:dyDescent="0.25">
      <c r="A120" s="17" t="str">
        <f>Info!$B$19</f>
        <v>GPT-OSS 120B</v>
      </c>
      <c r="B120" s="33">
        <v>50</v>
      </c>
      <c r="C120" s="21">
        <f t="shared" si="2"/>
        <v>16</v>
      </c>
      <c r="D120" s="22">
        <v>63.39</v>
      </c>
      <c r="F120" s="71"/>
      <c r="G120" s="72"/>
      <c r="H120" s="71"/>
      <c r="I120" s="72"/>
      <c r="J120" s="71"/>
      <c r="K120" s="72"/>
      <c r="L120" s="71"/>
      <c r="M120" s="72"/>
      <c r="O120" s="71"/>
      <c r="P120" s="72"/>
      <c r="Q120" s="71"/>
      <c r="R120" s="72"/>
      <c r="S120" s="71"/>
      <c r="T120" s="72"/>
      <c r="U120" s="71"/>
      <c r="V120" s="72"/>
    </row>
    <row r="121" spans="1:22" x14ac:dyDescent="0.25">
      <c r="A121" s="17" t="str">
        <f>Info!$B$19</f>
        <v>GPT-OSS 120B</v>
      </c>
      <c r="B121" s="33">
        <v>100</v>
      </c>
      <c r="C121" s="21">
        <f t="shared" si="2"/>
        <v>16</v>
      </c>
      <c r="D121" s="22">
        <v>64.58</v>
      </c>
      <c r="F121" s="71"/>
      <c r="G121" s="72"/>
      <c r="H121" s="71"/>
      <c r="I121" s="72"/>
      <c r="J121" s="71"/>
      <c r="K121" s="72"/>
      <c r="L121" s="71"/>
      <c r="M121" s="72"/>
      <c r="O121" s="71"/>
      <c r="P121" s="72"/>
      <c r="Q121" s="71"/>
      <c r="R121" s="72"/>
      <c r="S121" s="71"/>
      <c r="T121" s="72"/>
      <c r="U121" s="71"/>
      <c r="V121" s="72"/>
    </row>
    <row r="122" spans="1:22" ht="15.75" thickBot="1" x14ac:dyDescent="0.3">
      <c r="A122" s="18" t="str">
        <f>Info!$B$19</f>
        <v>GPT-OSS 120B</v>
      </c>
      <c r="B122" s="34">
        <v>150</v>
      </c>
      <c r="C122" s="21" t="s">
        <v>75</v>
      </c>
      <c r="D122" s="23" t="s">
        <v>75</v>
      </c>
      <c r="F122" s="73"/>
      <c r="G122" s="74"/>
      <c r="H122" s="73"/>
      <c r="I122" s="74"/>
      <c r="J122" s="73"/>
      <c r="K122" s="74"/>
      <c r="L122" s="73"/>
      <c r="M122" s="74"/>
      <c r="O122" s="73"/>
      <c r="P122" s="74"/>
      <c r="Q122" s="73"/>
      <c r="R122" s="74"/>
      <c r="S122" s="73"/>
      <c r="T122" s="74"/>
      <c r="U122" s="73"/>
      <c r="V122" s="74"/>
    </row>
  </sheetData>
  <mergeCells count="11">
    <mergeCell ref="U2:V2"/>
    <mergeCell ref="O1:V1"/>
    <mergeCell ref="O2:P2"/>
    <mergeCell ref="C1:D1"/>
    <mergeCell ref="Q2:R2"/>
    <mergeCell ref="S2:T2"/>
    <mergeCell ref="F2:G2"/>
    <mergeCell ref="H2:I2"/>
    <mergeCell ref="J2:K2"/>
    <mergeCell ref="L2:M2"/>
    <mergeCell ref="F1:M1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1CE-17E4-42E0-886B-884C077E4EC1}">
  <dimension ref="A1:AD122"/>
  <sheetViews>
    <sheetView topLeftCell="C1" zoomScale="190" zoomScaleNormal="190" workbookViewId="0">
      <selection activeCell="N5" sqref="N5"/>
    </sheetView>
  </sheetViews>
  <sheetFormatPr defaultRowHeight="15" x14ac:dyDescent="0.25"/>
  <cols>
    <col min="1" max="1" width="23.85546875" bestFit="1" customWidth="1"/>
    <col min="2" max="2" width="9.42578125" customWidth="1"/>
    <col min="3" max="3" width="10" customWidth="1"/>
    <col min="4" max="4" width="9.42578125" customWidth="1"/>
    <col min="5" max="5" width="0.7109375" customWidth="1"/>
    <col min="6" max="6" width="8.85546875" bestFit="1" customWidth="1"/>
    <col min="7" max="7" width="4" bestFit="1" customWidth="1"/>
    <col min="8" max="8" width="10.140625" bestFit="1" customWidth="1"/>
    <col min="9" max="9" width="8.85546875" bestFit="1" customWidth="1"/>
    <col min="10" max="10" width="4" bestFit="1" customWidth="1"/>
    <col min="11" max="11" width="10.140625" bestFit="1" customWidth="1"/>
    <col min="12" max="12" width="8.85546875" bestFit="1" customWidth="1"/>
    <col min="13" max="13" width="4" bestFit="1" customWidth="1"/>
    <col min="14" max="14" width="10.140625" bestFit="1" customWidth="1"/>
    <col min="15" max="15" width="8.85546875" bestFit="1" customWidth="1"/>
    <col min="16" max="16" width="4" bestFit="1" customWidth="1"/>
    <col min="17" max="17" width="10.140625" bestFit="1" customWidth="1"/>
    <col min="18" max="18" width="0.7109375" customWidth="1"/>
    <col min="19" max="19" width="7.5703125" bestFit="1" customWidth="1"/>
    <col min="20" max="20" width="15" bestFit="1" customWidth="1"/>
    <col min="21" max="21" width="10.140625" bestFit="1" customWidth="1"/>
    <col min="22" max="22" width="7.5703125" bestFit="1" customWidth="1"/>
    <col min="23" max="23" width="15" bestFit="1" customWidth="1"/>
    <col min="24" max="24" width="10.140625" bestFit="1" customWidth="1"/>
    <col min="25" max="25" width="7.5703125" bestFit="1" customWidth="1"/>
    <col min="26" max="26" width="15" bestFit="1" customWidth="1"/>
    <col min="27" max="27" width="10.140625" bestFit="1" customWidth="1"/>
    <col min="28" max="28" width="7.5703125" bestFit="1" customWidth="1"/>
    <col min="29" max="29" width="15" bestFit="1" customWidth="1"/>
    <col min="30" max="30" width="10.140625" bestFit="1" customWidth="1"/>
  </cols>
  <sheetData>
    <row r="1" spans="1:30" ht="16.5" thickTop="1" thickBot="1" x14ac:dyDescent="0.3">
      <c r="A1" s="53"/>
      <c r="B1" s="53"/>
      <c r="C1" s="25" t="s">
        <v>76</v>
      </c>
      <c r="D1" s="25"/>
      <c r="E1" s="53"/>
      <c r="F1" s="39" t="s">
        <v>67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1"/>
      <c r="R1" s="24"/>
      <c r="S1" s="39" t="s">
        <v>81</v>
      </c>
      <c r="T1" s="40"/>
      <c r="U1" s="40"/>
      <c r="V1" s="40"/>
      <c r="W1" s="40"/>
      <c r="X1" s="40"/>
      <c r="Y1" s="40"/>
      <c r="Z1" s="40"/>
      <c r="AA1" s="40"/>
      <c r="AB1" s="40"/>
      <c r="AC1" s="40"/>
      <c r="AD1" s="41"/>
    </row>
    <row r="2" spans="1:30" ht="15.75" thickBot="1" x14ac:dyDescent="0.3">
      <c r="A2" s="53"/>
      <c r="B2" s="53"/>
      <c r="C2" s="53" t="s">
        <v>77</v>
      </c>
      <c r="D2" s="53" t="s">
        <v>78</v>
      </c>
      <c r="E2" s="53"/>
      <c r="F2" s="42">
        <v>1</v>
      </c>
      <c r="G2" s="43"/>
      <c r="H2" s="43"/>
      <c r="I2" s="43">
        <v>2</v>
      </c>
      <c r="J2" s="43"/>
      <c r="K2" s="43"/>
      <c r="L2" s="43">
        <v>3</v>
      </c>
      <c r="M2" s="43"/>
      <c r="N2" s="43"/>
      <c r="O2" s="43">
        <v>4</v>
      </c>
      <c r="P2" s="43"/>
      <c r="Q2" s="44"/>
      <c r="R2" s="24"/>
      <c r="S2" s="42">
        <v>1</v>
      </c>
      <c r="T2" s="43"/>
      <c r="U2" s="43"/>
      <c r="V2" s="43">
        <v>2</v>
      </c>
      <c r="W2" s="43"/>
      <c r="X2" s="43"/>
      <c r="Y2" s="43">
        <v>3</v>
      </c>
      <c r="Z2" s="43"/>
      <c r="AA2" s="43"/>
      <c r="AB2" s="43">
        <v>4</v>
      </c>
      <c r="AC2" s="43"/>
      <c r="AD2" s="44"/>
    </row>
    <row r="3" spans="1:30" ht="16.5" thickTop="1" thickBot="1" x14ac:dyDescent="0.3">
      <c r="A3" s="26" t="s">
        <v>70</v>
      </c>
      <c r="B3" s="27" t="s">
        <v>69</v>
      </c>
      <c r="C3" s="27" t="s">
        <v>54</v>
      </c>
      <c r="D3" s="28" t="s">
        <v>79</v>
      </c>
      <c r="E3" s="29"/>
      <c r="F3" s="37" t="s">
        <v>71</v>
      </c>
      <c r="G3" s="38" t="s">
        <v>72</v>
      </c>
      <c r="H3" s="35" t="s">
        <v>73</v>
      </c>
      <c r="I3" s="37" t="s">
        <v>71</v>
      </c>
      <c r="J3" s="38" t="s">
        <v>72</v>
      </c>
      <c r="K3" s="35" t="s">
        <v>73</v>
      </c>
      <c r="L3" s="37" t="s">
        <v>71</v>
      </c>
      <c r="M3" s="38" t="s">
        <v>72</v>
      </c>
      <c r="N3" s="35" t="s">
        <v>73</v>
      </c>
      <c r="O3" s="37" t="s">
        <v>71</v>
      </c>
      <c r="P3" s="38" t="s">
        <v>72</v>
      </c>
      <c r="Q3" s="36" t="s">
        <v>73</v>
      </c>
      <c r="S3" s="37" t="s">
        <v>82</v>
      </c>
      <c r="T3" s="38" t="s">
        <v>83</v>
      </c>
      <c r="U3" s="35" t="s">
        <v>73</v>
      </c>
      <c r="V3" s="37" t="s">
        <v>82</v>
      </c>
      <c r="W3" s="38" t="s">
        <v>83</v>
      </c>
      <c r="X3" s="35" t="s">
        <v>73</v>
      </c>
      <c r="Y3" s="37" t="s">
        <v>82</v>
      </c>
      <c r="Z3" s="38" t="s">
        <v>83</v>
      </c>
      <c r="AA3" s="35" t="s">
        <v>73</v>
      </c>
      <c r="AB3" s="37" t="s">
        <v>82</v>
      </c>
      <c r="AC3" s="38" t="s">
        <v>83</v>
      </c>
      <c r="AD3" s="36" t="s">
        <v>73</v>
      </c>
    </row>
    <row r="4" spans="1:30" ht="3.75" customHeight="1" thickTop="1" thickBot="1" x14ac:dyDescent="0.3"/>
    <row r="5" spans="1:30" x14ac:dyDescent="0.25">
      <c r="A5" s="16" t="str">
        <f>Info!B3</f>
        <v>Llama 3.2 Instruct</v>
      </c>
      <c r="B5" s="32">
        <v>4</v>
      </c>
      <c r="C5" s="21">
        <f t="shared" ref="C5:C16" si="0">IF(D5 &lt;= 16,D5,16)</f>
        <v>1.36</v>
      </c>
      <c r="D5" s="19">
        <v>1.36</v>
      </c>
      <c r="F5" s="45"/>
      <c r="G5" s="46"/>
      <c r="H5" s="47"/>
      <c r="I5" s="45"/>
      <c r="J5" s="46"/>
      <c r="K5" s="47"/>
      <c r="L5" s="45"/>
      <c r="M5" s="46"/>
      <c r="N5" s="47"/>
      <c r="O5" s="45"/>
      <c r="P5" s="46"/>
      <c r="Q5" s="47"/>
      <c r="S5" s="45"/>
      <c r="T5" s="46"/>
      <c r="U5" s="47"/>
      <c r="V5" s="45"/>
      <c r="W5" s="46"/>
      <c r="X5" s="47"/>
      <c r="Y5" s="45"/>
      <c r="Z5" s="46"/>
      <c r="AA5" s="47"/>
      <c r="AB5" s="45"/>
      <c r="AC5" s="46"/>
      <c r="AD5" s="47"/>
    </row>
    <row r="6" spans="1:30" x14ac:dyDescent="0.25">
      <c r="A6" s="17" t="str">
        <f>Info!$B$3</f>
        <v>Llama 3.2 Instruct</v>
      </c>
      <c r="B6" s="33">
        <v>8</v>
      </c>
      <c r="C6" s="21">
        <f t="shared" si="0"/>
        <v>1.42</v>
      </c>
      <c r="D6" s="21">
        <v>1.42</v>
      </c>
      <c r="F6" s="48"/>
      <c r="G6" s="15"/>
      <c r="H6" s="49"/>
      <c r="I6" s="48"/>
      <c r="J6" s="15"/>
      <c r="K6" s="49"/>
      <c r="L6" s="48"/>
      <c r="M6" s="15"/>
      <c r="N6" s="49"/>
      <c r="O6" s="48"/>
      <c r="P6" s="15"/>
      <c r="Q6" s="49"/>
      <c r="S6" s="48"/>
      <c r="T6" s="15"/>
      <c r="U6" s="49"/>
      <c r="V6" s="48"/>
      <c r="W6" s="15"/>
      <c r="X6" s="49"/>
      <c r="Y6" s="48"/>
      <c r="Z6" s="15"/>
      <c r="AA6" s="49"/>
      <c r="AB6" s="48"/>
      <c r="AC6" s="15"/>
      <c r="AD6" s="49"/>
    </row>
    <row r="7" spans="1:30" x14ac:dyDescent="0.25">
      <c r="A7" s="17" t="str">
        <f>Info!$B$3</f>
        <v>Llama 3.2 Instruct</v>
      </c>
      <c r="B7" s="33">
        <v>20</v>
      </c>
      <c r="C7" s="21">
        <f t="shared" si="0"/>
        <v>1.6</v>
      </c>
      <c r="D7" s="21">
        <v>1.6</v>
      </c>
      <c r="F7" s="48"/>
      <c r="G7" s="15"/>
      <c r="H7" s="49"/>
      <c r="I7" s="48"/>
      <c r="J7" s="15"/>
      <c r="K7" s="49"/>
      <c r="L7" s="48"/>
      <c r="M7" s="15"/>
      <c r="N7" s="49"/>
      <c r="O7" s="48"/>
      <c r="P7" s="15"/>
      <c r="Q7" s="49"/>
      <c r="S7" s="48"/>
      <c r="T7" s="15"/>
      <c r="U7" s="49"/>
      <c r="V7" s="48"/>
      <c r="W7" s="15"/>
      <c r="X7" s="49"/>
      <c r="Y7" s="48"/>
      <c r="Z7" s="15"/>
      <c r="AA7" s="49"/>
      <c r="AB7" s="48"/>
      <c r="AC7" s="15"/>
      <c r="AD7" s="49"/>
    </row>
    <row r="8" spans="1:30" x14ac:dyDescent="0.25">
      <c r="A8" s="17" t="str">
        <f>Info!$B$3</f>
        <v>Llama 3.2 Instruct</v>
      </c>
      <c r="B8" s="33">
        <v>50</v>
      </c>
      <c r="C8" s="21">
        <f t="shared" si="0"/>
        <v>2.06</v>
      </c>
      <c r="D8" s="21">
        <v>2.06</v>
      </c>
      <c r="F8" s="48"/>
      <c r="G8" s="15"/>
      <c r="H8" s="49"/>
      <c r="I8" s="48"/>
      <c r="J8" s="15"/>
      <c r="K8" s="49"/>
      <c r="L8" s="48"/>
      <c r="M8" s="15"/>
      <c r="N8" s="49"/>
      <c r="O8" s="48"/>
      <c r="P8" s="15"/>
      <c r="Q8" s="49"/>
      <c r="S8" s="48"/>
      <c r="T8" s="15"/>
      <c r="U8" s="49"/>
      <c r="V8" s="48"/>
      <c r="W8" s="15"/>
      <c r="X8" s="49"/>
      <c r="Y8" s="48"/>
      <c r="Z8" s="15"/>
      <c r="AA8" s="49"/>
      <c r="AB8" s="48"/>
      <c r="AC8" s="15"/>
      <c r="AD8" s="49"/>
    </row>
    <row r="9" spans="1:30" x14ac:dyDescent="0.25">
      <c r="A9" s="17" t="str">
        <f>Info!$B$3</f>
        <v>Llama 3.2 Instruct</v>
      </c>
      <c r="B9" s="33">
        <v>100</v>
      </c>
      <c r="C9" s="21">
        <f t="shared" si="0"/>
        <v>2.82</v>
      </c>
      <c r="D9" s="21">
        <v>2.82</v>
      </c>
      <c r="F9" s="48"/>
      <c r="G9" s="15"/>
      <c r="H9" s="49"/>
      <c r="I9" s="48"/>
      <c r="J9" s="15"/>
      <c r="K9" s="49"/>
      <c r="L9" s="48"/>
      <c r="M9" s="15"/>
      <c r="N9" s="49"/>
      <c r="O9" s="48"/>
      <c r="P9" s="15"/>
      <c r="Q9" s="49"/>
      <c r="S9" s="48"/>
      <c r="T9" s="15"/>
      <c r="U9" s="49"/>
      <c r="V9" s="48"/>
      <c r="W9" s="15"/>
      <c r="X9" s="49"/>
      <c r="Y9" s="48"/>
      <c r="Z9" s="15"/>
      <c r="AA9" s="49"/>
      <c r="AB9" s="48"/>
      <c r="AC9" s="15"/>
      <c r="AD9" s="49"/>
    </row>
    <row r="10" spans="1:30" ht="15.75" thickBot="1" x14ac:dyDescent="0.3">
      <c r="A10" s="18" t="str">
        <f>Info!$B$3</f>
        <v>Llama 3.2 Instruct</v>
      </c>
      <c r="B10" s="34">
        <v>150</v>
      </c>
      <c r="C10" s="54" t="s">
        <v>75</v>
      </c>
      <c r="D10" s="23" t="s">
        <v>75</v>
      </c>
      <c r="F10" s="50"/>
      <c r="G10" s="51"/>
      <c r="H10" s="52"/>
      <c r="I10" s="50"/>
      <c r="J10" s="51"/>
      <c r="K10" s="52"/>
      <c r="L10" s="50"/>
      <c r="M10" s="51"/>
      <c r="N10" s="52"/>
      <c r="O10" s="50"/>
      <c r="P10" s="51"/>
      <c r="Q10" s="52"/>
      <c r="S10" s="50"/>
      <c r="T10" s="51"/>
      <c r="U10" s="52"/>
      <c r="V10" s="50"/>
      <c r="W10" s="51"/>
      <c r="X10" s="52"/>
      <c r="Y10" s="50"/>
      <c r="Z10" s="51"/>
      <c r="AA10" s="52"/>
      <c r="AB10" s="50"/>
      <c r="AC10" s="51"/>
      <c r="AD10" s="52"/>
    </row>
    <row r="11" spans="1:30" ht="3.75" customHeight="1" thickBot="1" x14ac:dyDescent="0.3">
      <c r="B11" s="30"/>
      <c r="C11" s="56"/>
      <c r="D11" s="31"/>
    </row>
    <row r="12" spans="1:30" x14ac:dyDescent="0.25">
      <c r="A12" s="16" t="str">
        <f>Info!$B$4</f>
        <v>Gemma 3 4B</v>
      </c>
      <c r="B12" s="32">
        <v>4</v>
      </c>
      <c r="C12" s="55">
        <f t="shared" si="0"/>
        <v>3.61</v>
      </c>
      <c r="D12" s="19">
        <v>3.61</v>
      </c>
      <c r="F12" s="45"/>
      <c r="G12" s="46"/>
      <c r="H12" s="47"/>
      <c r="I12" s="45"/>
      <c r="J12" s="46"/>
      <c r="K12" s="47"/>
      <c r="L12" s="45"/>
      <c r="M12" s="46"/>
      <c r="N12" s="47"/>
      <c r="O12" s="45"/>
      <c r="P12" s="46"/>
      <c r="Q12" s="47"/>
      <c r="S12" s="45"/>
      <c r="T12" s="46"/>
      <c r="U12" s="47"/>
      <c r="V12" s="45"/>
      <c r="W12" s="46"/>
      <c r="X12" s="47"/>
      <c r="Y12" s="45"/>
      <c r="Z12" s="46"/>
      <c r="AA12" s="47"/>
      <c r="AB12" s="45"/>
      <c r="AC12" s="46"/>
      <c r="AD12" s="47"/>
    </row>
    <row r="13" spans="1:30" x14ac:dyDescent="0.25">
      <c r="A13" s="17" t="str">
        <f>Info!$B$4</f>
        <v>Gemma 3 4B</v>
      </c>
      <c r="B13" s="33">
        <v>8</v>
      </c>
      <c r="C13" s="21">
        <f t="shared" si="0"/>
        <v>3.92</v>
      </c>
      <c r="D13" s="21">
        <v>3.92</v>
      </c>
      <c r="F13" s="48"/>
      <c r="G13" s="15"/>
      <c r="H13" s="49"/>
      <c r="I13" s="48"/>
      <c r="J13" s="15"/>
      <c r="K13" s="49"/>
      <c r="L13" s="48"/>
      <c r="M13" s="15"/>
      <c r="N13" s="49"/>
      <c r="O13" s="48"/>
      <c r="P13" s="15"/>
      <c r="Q13" s="49"/>
      <c r="S13" s="48"/>
      <c r="T13" s="15"/>
      <c r="U13" s="49"/>
      <c r="V13" s="48"/>
      <c r="W13" s="15"/>
      <c r="X13" s="49"/>
      <c r="Y13" s="48"/>
      <c r="Z13" s="15"/>
      <c r="AA13" s="49"/>
      <c r="AB13" s="48"/>
      <c r="AC13" s="15"/>
      <c r="AD13" s="49"/>
    </row>
    <row r="14" spans="1:30" x14ac:dyDescent="0.25">
      <c r="A14" s="17" t="str">
        <f>Info!$B$4</f>
        <v>Gemma 3 4B</v>
      </c>
      <c r="B14" s="33">
        <v>20</v>
      </c>
      <c r="C14" s="21">
        <f t="shared" si="0"/>
        <v>4.88</v>
      </c>
      <c r="D14" s="21">
        <v>4.88</v>
      </c>
      <c r="F14" s="48"/>
      <c r="G14" s="15"/>
      <c r="H14" s="49"/>
      <c r="I14" s="48"/>
      <c r="J14" s="15"/>
      <c r="K14" s="49"/>
      <c r="L14" s="48"/>
      <c r="M14" s="15"/>
      <c r="N14" s="49"/>
      <c r="O14" s="48"/>
      <c r="P14" s="15"/>
      <c r="Q14" s="49"/>
      <c r="S14" s="48"/>
      <c r="T14" s="15"/>
      <c r="U14" s="49"/>
      <c r="V14" s="48"/>
      <c r="W14" s="15"/>
      <c r="X14" s="49"/>
      <c r="Y14" s="48"/>
      <c r="Z14" s="15"/>
      <c r="AA14" s="49"/>
      <c r="AB14" s="48"/>
      <c r="AC14" s="15"/>
      <c r="AD14" s="49"/>
    </row>
    <row r="15" spans="1:30" x14ac:dyDescent="0.25">
      <c r="A15" s="17" t="str">
        <f>Info!$B$4</f>
        <v>Gemma 3 4B</v>
      </c>
      <c r="B15" s="33">
        <v>50</v>
      </c>
      <c r="C15" s="21">
        <f t="shared" si="0"/>
        <v>7.27</v>
      </c>
      <c r="D15" s="21">
        <v>7.27</v>
      </c>
      <c r="F15" s="48"/>
      <c r="G15" s="15"/>
      <c r="H15" s="49"/>
      <c r="I15" s="48"/>
      <c r="J15" s="15"/>
      <c r="K15" s="49"/>
      <c r="L15" s="48"/>
      <c r="M15" s="15"/>
      <c r="N15" s="49"/>
      <c r="O15" s="48"/>
      <c r="P15" s="15"/>
      <c r="Q15" s="49"/>
      <c r="S15" s="48"/>
      <c r="T15" s="15"/>
      <c r="U15" s="49"/>
      <c r="V15" s="48"/>
      <c r="W15" s="15"/>
      <c r="X15" s="49"/>
      <c r="Y15" s="48"/>
      <c r="Z15" s="15"/>
      <c r="AA15" s="49"/>
      <c r="AB15" s="48"/>
      <c r="AC15" s="15"/>
      <c r="AD15" s="49"/>
    </row>
    <row r="16" spans="1:30" x14ac:dyDescent="0.25">
      <c r="A16" s="17" t="str">
        <f>Info!$B$4</f>
        <v>Gemma 3 4B</v>
      </c>
      <c r="B16" s="33">
        <v>100</v>
      </c>
      <c r="C16" s="21">
        <f t="shared" si="0"/>
        <v>11.27</v>
      </c>
      <c r="D16" s="21">
        <v>11.27</v>
      </c>
      <c r="F16" s="48"/>
      <c r="G16" s="15"/>
      <c r="H16" s="49"/>
      <c r="I16" s="48"/>
      <c r="J16" s="15"/>
      <c r="K16" s="49"/>
      <c r="L16" s="48"/>
      <c r="M16" s="15"/>
      <c r="N16" s="49"/>
      <c r="O16" s="48"/>
      <c r="P16" s="15"/>
      <c r="Q16" s="49"/>
      <c r="S16" s="48"/>
      <c r="T16" s="15"/>
      <c r="U16" s="49"/>
      <c r="V16" s="48"/>
      <c r="W16" s="15"/>
      <c r="X16" s="49"/>
      <c r="Y16" s="48"/>
      <c r="Z16" s="15"/>
      <c r="AA16" s="49"/>
      <c r="AB16" s="48"/>
      <c r="AC16" s="15"/>
      <c r="AD16" s="49"/>
    </row>
    <row r="17" spans="1:30" ht="15.75" thickBot="1" x14ac:dyDescent="0.3">
      <c r="A17" s="18" t="str">
        <f>Info!$B$4</f>
        <v>Gemma 3 4B</v>
      </c>
      <c r="B17" s="34">
        <v>150</v>
      </c>
      <c r="C17" s="54" t="s">
        <v>75</v>
      </c>
      <c r="D17" s="23" t="s">
        <v>75</v>
      </c>
      <c r="F17" s="50"/>
      <c r="G17" s="51"/>
      <c r="H17" s="52"/>
      <c r="I17" s="50"/>
      <c r="J17" s="51"/>
      <c r="K17" s="52"/>
      <c r="L17" s="50"/>
      <c r="M17" s="51"/>
      <c r="N17" s="52"/>
      <c r="O17" s="50"/>
      <c r="P17" s="51"/>
      <c r="Q17" s="52"/>
      <c r="S17" s="50"/>
      <c r="T17" s="51"/>
      <c r="U17" s="52"/>
      <c r="V17" s="50"/>
      <c r="W17" s="51"/>
      <c r="X17" s="52"/>
      <c r="Y17" s="50"/>
      <c r="Z17" s="51"/>
      <c r="AA17" s="52"/>
      <c r="AB17" s="50"/>
      <c r="AC17" s="51"/>
      <c r="AD17" s="52"/>
    </row>
    <row r="18" spans="1:30" ht="3.75" customHeight="1" thickBot="1" x14ac:dyDescent="0.3">
      <c r="B18" s="30"/>
      <c r="C18" s="56"/>
      <c r="D18" s="31"/>
    </row>
    <row r="19" spans="1:30" x14ac:dyDescent="0.25">
      <c r="A19" s="16" t="str">
        <f>Info!$B$5</f>
        <v>Gemma 4 E2B</v>
      </c>
      <c r="B19" s="32">
        <v>4</v>
      </c>
      <c r="C19" s="55">
        <f>IF(D19 &lt;= 16,D19,16)</f>
        <v>4.38</v>
      </c>
      <c r="D19" s="20">
        <v>4.38</v>
      </c>
      <c r="F19" s="45"/>
      <c r="G19" s="46"/>
      <c r="H19" s="47"/>
      <c r="I19" s="45"/>
      <c r="J19" s="46"/>
      <c r="K19" s="47"/>
      <c r="L19" s="45"/>
      <c r="M19" s="46"/>
      <c r="N19" s="47"/>
      <c r="O19" s="45"/>
      <c r="P19" s="46"/>
      <c r="Q19" s="47"/>
      <c r="S19" s="45"/>
      <c r="T19" s="46"/>
      <c r="U19" s="47"/>
      <c r="V19" s="45"/>
      <c r="W19" s="46"/>
      <c r="X19" s="47"/>
      <c r="Y19" s="45"/>
      <c r="Z19" s="46"/>
      <c r="AA19" s="47"/>
      <c r="AB19" s="45"/>
      <c r="AC19" s="46"/>
      <c r="AD19" s="47"/>
    </row>
    <row r="20" spans="1:30" x14ac:dyDescent="0.25">
      <c r="A20" s="17" t="str">
        <f>Info!$B$5</f>
        <v>Gemma 4 E2B</v>
      </c>
      <c r="B20" s="33">
        <v>8</v>
      </c>
      <c r="C20" s="21">
        <f>IF(D20 &lt;= 16,D20,16)</f>
        <v>4.43</v>
      </c>
      <c r="D20" s="22">
        <v>4.43</v>
      </c>
      <c r="F20" s="48"/>
      <c r="G20" s="15"/>
      <c r="H20" s="49"/>
      <c r="I20" s="48"/>
      <c r="J20" s="15"/>
      <c r="K20" s="49"/>
      <c r="L20" s="48"/>
      <c r="M20" s="15"/>
      <c r="N20" s="49"/>
      <c r="O20" s="48"/>
      <c r="P20" s="15"/>
      <c r="Q20" s="49"/>
      <c r="S20" s="48"/>
      <c r="T20" s="15"/>
      <c r="U20" s="49"/>
      <c r="V20" s="48"/>
      <c r="W20" s="15"/>
      <c r="X20" s="49"/>
      <c r="Y20" s="48"/>
      <c r="Z20" s="15"/>
      <c r="AA20" s="49"/>
      <c r="AB20" s="48"/>
      <c r="AC20" s="15"/>
      <c r="AD20" s="49"/>
    </row>
    <row r="21" spans="1:30" x14ac:dyDescent="0.25">
      <c r="A21" s="17" t="str">
        <f>Info!$B$5</f>
        <v>Gemma 4 E2B</v>
      </c>
      <c r="B21" s="33">
        <v>20</v>
      </c>
      <c r="C21" s="21">
        <f t="shared" ref="C21:C84" si="1">IF(D21 &lt;= 16,D21,16)</f>
        <v>4.5599999999999996</v>
      </c>
      <c r="D21" s="22">
        <v>4.5599999999999996</v>
      </c>
      <c r="F21" s="48"/>
      <c r="G21" s="15"/>
      <c r="H21" s="49"/>
      <c r="I21" s="48"/>
      <c r="J21" s="15"/>
      <c r="K21" s="49"/>
      <c r="L21" s="48"/>
      <c r="M21" s="15"/>
      <c r="N21" s="49"/>
      <c r="O21" s="48"/>
      <c r="P21" s="15"/>
      <c r="Q21" s="49"/>
      <c r="S21" s="48"/>
      <c r="T21" s="15"/>
      <c r="U21" s="49"/>
      <c r="V21" s="48"/>
      <c r="W21" s="15"/>
      <c r="X21" s="49"/>
      <c r="Y21" s="48"/>
      <c r="Z21" s="15"/>
      <c r="AA21" s="49"/>
      <c r="AB21" s="48"/>
      <c r="AC21" s="15"/>
      <c r="AD21" s="49"/>
    </row>
    <row r="22" spans="1:30" x14ac:dyDescent="0.25">
      <c r="A22" s="17" t="str">
        <f>Info!$B$5</f>
        <v>Gemma 4 E2B</v>
      </c>
      <c r="B22" s="33">
        <v>50</v>
      </c>
      <c r="C22" s="21">
        <f t="shared" si="1"/>
        <v>4.96</v>
      </c>
      <c r="D22" s="22">
        <v>4.96</v>
      </c>
      <c r="F22" s="48"/>
      <c r="G22" s="15"/>
      <c r="H22" s="49"/>
      <c r="I22" s="48"/>
      <c r="J22" s="15"/>
      <c r="K22" s="49"/>
      <c r="L22" s="48"/>
      <c r="M22" s="15"/>
      <c r="N22" s="49"/>
      <c r="O22" s="48"/>
      <c r="P22" s="15"/>
      <c r="Q22" s="49"/>
      <c r="S22" s="48"/>
      <c r="T22" s="15"/>
      <c r="U22" s="49"/>
      <c r="V22" s="48"/>
      <c r="W22" s="15"/>
      <c r="X22" s="49"/>
      <c r="Y22" s="48"/>
      <c r="Z22" s="15"/>
      <c r="AA22" s="49"/>
      <c r="AB22" s="48"/>
      <c r="AC22" s="15"/>
      <c r="AD22" s="49"/>
    </row>
    <row r="23" spans="1:30" x14ac:dyDescent="0.25">
      <c r="A23" s="17" t="str">
        <f>Info!$B$5</f>
        <v>Gemma 4 E2B</v>
      </c>
      <c r="B23" s="33">
        <v>100</v>
      </c>
      <c r="C23" s="21">
        <f t="shared" si="1"/>
        <v>5.58</v>
      </c>
      <c r="D23" s="22">
        <v>5.58</v>
      </c>
      <c r="F23" s="48"/>
      <c r="G23" s="15"/>
      <c r="H23" s="49"/>
      <c r="I23" s="48"/>
      <c r="J23" s="15"/>
      <c r="K23" s="49"/>
      <c r="L23" s="48"/>
      <c r="M23" s="15"/>
      <c r="N23" s="49"/>
      <c r="O23" s="48"/>
      <c r="P23" s="15"/>
      <c r="Q23" s="49"/>
      <c r="S23" s="48"/>
      <c r="T23" s="15"/>
      <c r="U23" s="49"/>
      <c r="V23" s="48"/>
      <c r="W23" s="15"/>
      <c r="X23" s="49"/>
      <c r="Y23" s="48"/>
      <c r="Z23" s="15"/>
      <c r="AA23" s="49"/>
      <c r="AB23" s="48"/>
      <c r="AC23" s="15"/>
      <c r="AD23" s="49"/>
    </row>
    <row r="24" spans="1:30" ht="15.75" thickBot="1" x14ac:dyDescent="0.3">
      <c r="A24" s="18" t="str">
        <f>Info!$B$5</f>
        <v>Gemma 4 E2B</v>
      </c>
      <c r="B24" s="34">
        <v>150</v>
      </c>
      <c r="C24" s="54" t="s">
        <v>75</v>
      </c>
      <c r="D24" s="23" t="s">
        <v>75</v>
      </c>
      <c r="F24" s="50"/>
      <c r="G24" s="51"/>
      <c r="H24" s="52"/>
      <c r="I24" s="50"/>
      <c r="J24" s="51"/>
      <c r="K24" s="52"/>
      <c r="L24" s="50"/>
      <c r="M24" s="51"/>
      <c r="N24" s="52"/>
      <c r="O24" s="50"/>
      <c r="P24" s="51"/>
      <c r="Q24" s="52"/>
      <c r="S24" s="50"/>
      <c r="T24" s="51"/>
      <c r="U24" s="52"/>
      <c r="V24" s="50"/>
      <c r="W24" s="51"/>
      <c r="X24" s="52"/>
      <c r="Y24" s="50"/>
      <c r="Z24" s="51"/>
      <c r="AA24" s="52"/>
      <c r="AB24" s="50"/>
      <c r="AC24" s="51"/>
      <c r="AD24" s="52"/>
    </row>
    <row r="25" spans="1:30" ht="5.0999999999999996" customHeight="1" thickBot="1" x14ac:dyDescent="0.3">
      <c r="B25" s="30"/>
      <c r="C25" s="56"/>
      <c r="D25" s="31"/>
    </row>
    <row r="26" spans="1:30" x14ac:dyDescent="0.25">
      <c r="A26" s="16" t="str">
        <f>Info!$B$6</f>
        <v>Qwen3 8B</v>
      </c>
      <c r="B26" s="32">
        <v>4</v>
      </c>
      <c r="C26" s="55">
        <f t="shared" si="1"/>
        <v>5.21</v>
      </c>
      <c r="D26" s="20">
        <v>5.21</v>
      </c>
      <c r="F26" s="45"/>
      <c r="G26" s="46"/>
      <c r="H26" s="47"/>
      <c r="I26" s="45"/>
      <c r="J26" s="46"/>
      <c r="K26" s="47"/>
      <c r="L26" s="45"/>
      <c r="M26" s="46"/>
      <c r="N26" s="47"/>
      <c r="O26" s="45"/>
      <c r="P26" s="46"/>
      <c r="Q26" s="47"/>
      <c r="S26" s="45"/>
      <c r="T26" s="46"/>
      <c r="U26" s="47"/>
      <c r="V26" s="45"/>
      <c r="W26" s="46"/>
      <c r="X26" s="47"/>
      <c r="Y26" s="45"/>
      <c r="Z26" s="46"/>
      <c r="AA26" s="47"/>
      <c r="AB26" s="45"/>
      <c r="AC26" s="46"/>
      <c r="AD26" s="47"/>
    </row>
    <row r="27" spans="1:30" x14ac:dyDescent="0.25">
      <c r="A27" s="17" t="str">
        <f>Info!$B$6</f>
        <v>Qwen3 8B</v>
      </c>
      <c r="B27" s="33">
        <v>8</v>
      </c>
      <c r="C27" s="21">
        <f t="shared" si="1"/>
        <v>5.48</v>
      </c>
      <c r="D27" s="22">
        <v>5.48</v>
      </c>
      <c r="F27" s="48"/>
      <c r="G27" s="15"/>
      <c r="H27" s="49"/>
      <c r="I27" s="48"/>
      <c r="J27" s="15"/>
      <c r="K27" s="49"/>
      <c r="L27" s="48"/>
      <c r="M27" s="15"/>
      <c r="N27" s="49"/>
      <c r="O27" s="48"/>
      <c r="P27" s="15"/>
      <c r="Q27" s="49"/>
      <c r="S27" s="48"/>
      <c r="T27" s="15"/>
      <c r="U27" s="49"/>
      <c r="V27" s="48"/>
      <c r="W27" s="15"/>
      <c r="X27" s="49"/>
      <c r="Y27" s="48"/>
      <c r="Z27" s="15"/>
      <c r="AA27" s="49"/>
      <c r="AB27" s="48"/>
      <c r="AC27" s="15"/>
      <c r="AD27" s="49"/>
    </row>
    <row r="28" spans="1:30" x14ac:dyDescent="0.25">
      <c r="A28" s="17" t="str">
        <f>Info!$B$6</f>
        <v>Qwen3 8B</v>
      </c>
      <c r="B28" s="33">
        <v>20</v>
      </c>
      <c r="C28" s="21">
        <f t="shared" si="1"/>
        <v>6.29</v>
      </c>
      <c r="D28" s="22">
        <v>6.29</v>
      </c>
      <c r="F28" s="48"/>
      <c r="G28" s="15"/>
      <c r="H28" s="49"/>
      <c r="I28" s="48"/>
      <c r="J28" s="15"/>
      <c r="K28" s="49"/>
      <c r="L28" s="48"/>
      <c r="M28" s="15"/>
      <c r="N28" s="49"/>
      <c r="O28" s="48"/>
      <c r="P28" s="15"/>
      <c r="Q28" s="49"/>
      <c r="S28" s="48"/>
      <c r="T28" s="15"/>
      <c r="U28" s="49"/>
      <c r="V28" s="48"/>
      <c r="W28" s="15"/>
      <c r="X28" s="49"/>
      <c r="Y28" s="48"/>
      <c r="Z28" s="15"/>
      <c r="AA28" s="49"/>
      <c r="AB28" s="48"/>
      <c r="AC28" s="15"/>
      <c r="AD28" s="49"/>
    </row>
    <row r="29" spans="1:30" x14ac:dyDescent="0.25">
      <c r="A29" s="17" t="str">
        <f>Info!$B$6</f>
        <v>Qwen3 8B</v>
      </c>
      <c r="B29" s="33">
        <v>50</v>
      </c>
      <c r="C29" s="21" t="s">
        <v>75</v>
      </c>
      <c r="D29" s="22" t="s">
        <v>75</v>
      </c>
      <c r="F29" s="48"/>
      <c r="G29" s="15"/>
      <c r="H29" s="49"/>
      <c r="I29" s="48"/>
      <c r="J29" s="15"/>
      <c r="K29" s="49"/>
      <c r="L29" s="48"/>
      <c r="M29" s="15"/>
      <c r="N29" s="49"/>
      <c r="O29" s="48"/>
      <c r="P29" s="15"/>
      <c r="Q29" s="49"/>
      <c r="S29" s="48"/>
      <c r="T29" s="15"/>
      <c r="U29" s="49"/>
      <c r="V29" s="48"/>
      <c r="W29" s="15"/>
      <c r="X29" s="49"/>
      <c r="Y29" s="48"/>
      <c r="Z29" s="15"/>
      <c r="AA29" s="49"/>
      <c r="AB29" s="48"/>
      <c r="AC29" s="15"/>
      <c r="AD29" s="49"/>
    </row>
    <row r="30" spans="1:30" x14ac:dyDescent="0.25">
      <c r="A30" s="17" t="str">
        <f>Info!$B$6</f>
        <v>Qwen3 8B</v>
      </c>
      <c r="B30" s="33">
        <v>100</v>
      </c>
      <c r="C30" s="21" t="s">
        <v>75</v>
      </c>
      <c r="D30" s="22" t="s">
        <v>75</v>
      </c>
      <c r="F30" s="48"/>
      <c r="G30" s="15"/>
      <c r="H30" s="49"/>
      <c r="I30" s="48"/>
      <c r="J30" s="15"/>
      <c r="K30" s="49"/>
      <c r="L30" s="48"/>
      <c r="M30" s="15"/>
      <c r="N30" s="49"/>
      <c r="O30" s="48"/>
      <c r="P30" s="15"/>
      <c r="Q30" s="49"/>
      <c r="S30" s="48"/>
      <c r="T30" s="15"/>
      <c r="U30" s="49"/>
      <c r="V30" s="48"/>
      <c r="W30" s="15"/>
      <c r="X30" s="49"/>
      <c r="Y30" s="48"/>
      <c r="Z30" s="15"/>
      <c r="AA30" s="49"/>
      <c r="AB30" s="48"/>
      <c r="AC30" s="15"/>
      <c r="AD30" s="49"/>
    </row>
    <row r="31" spans="1:30" ht="15.75" thickBot="1" x14ac:dyDescent="0.3">
      <c r="A31" s="18" t="str">
        <f>Info!$B$6</f>
        <v>Qwen3 8B</v>
      </c>
      <c r="B31" s="34">
        <v>150</v>
      </c>
      <c r="C31" s="54" t="s">
        <v>75</v>
      </c>
      <c r="D31" s="23" t="s">
        <v>75</v>
      </c>
      <c r="F31" s="50"/>
      <c r="G31" s="51"/>
      <c r="H31" s="52"/>
      <c r="I31" s="50"/>
      <c r="J31" s="51"/>
      <c r="K31" s="52"/>
      <c r="L31" s="50"/>
      <c r="M31" s="51"/>
      <c r="N31" s="52"/>
      <c r="O31" s="50"/>
      <c r="P31" s="51"/>
      <c r="Q31" s="52"/>
      <c r="S31" s="50"/>
      <c r="T31" s="51"/>
      <c r="U31" s="52"/>
      <c r="V31" s="50"/>
      <c r="W31" s="51"/>
      <c r="X31" s="52"/>
      <c r="Y31" s="50"/>
      <c r="Z31" s="51"/>
      <c r="AA31" s="52"/>
      <c r="AB31" s="50"/>
      <c r="AC31" s="51"/>
      <c r="AD31" s="52"/>
    </row>
    <row r="32" spans="1:30" ht="5.0999999999999996" customHeight="1" thickBot="1" x14ac:dyDescent="0.3">
      <c r="B32" s="30"/>
      <c r="C32" s="56"/>
      <c r="D32" s="31"/>
    </row>
    <row r="33" spans="1:30" x14ac:dyDescent="0.25">
      <c r="A33" s="16" t="str">
        <f>Info!$B$7</f>
        <v>Gemma 4 E4B</v>
      </c>
      <c r="B33" s="32">
        <v>4</v>
      </c>
      <c r="C33" s="55">
        <f t="shared" si="1"/>
        <v>6.41</v>
      </c>
      <c r="D33" s="20">
        <v>6.41</v>
      </c>
      <c r="F33" s="45"/>
      <c r="G33" s="46"/>
      <c r="H33" s="47"/>
      <c r="I33" s="45"/>
      <c r="J33" s="46"/>
      <c r="K33" s="47"/>
      <c r="L33" s="45"/>
      <c r="M33" s="46"/>
      <c r="N33" s="47"/>
      <c r="O33" s="45"/>
      <c r="P33" s="46"/>
      <c r="Q33" s="47"/>
      <c r="S33" s="45"/>
      <c r="T33" s="46"/>
      <c r="U33" s="47"/>
      <c r="V33" s="45"/>
      <c r="W33" s="46"/>
      <c r="X33" s="47"/>
      <c r="Y33" s="45"/>
      <c r="Z33" s="46"/>
      <c r="AA33" s="47"/>
      <c r="AB33" s="45"/>
      <c r="AC33" s="46"/>
      <c r="AD33" s="47"/>
    </row>
    <row r="34" spans="1:30" x14ac:dyDescent="0.25">
      <c r="A34" s="17" t="str">
        <f>Info!$B$7</f>
        <v>Gemma 4 E4B</v>
      </c>
      <c r="B34" s="33">
        <v>8</v>
      </c>
      <c r="C34" s="21">
        <f t="shared" si="1"/>
        <v>6.6</v>
      </c>
      <c r="D34" s="22">
        <v>6.6</v>
      </c>
      <c r="F34" s="48"/>
      <c r="G34" s="15"/>
      <c r="H34" s="49"/>
      <c r="I34" s="48"/>
      <c r="J34" s="15"/>
      <c r="K34" s="49"/>
      <c r="L34" s="48"/>
      <c r="M34" s="15"/>
      <c r="N34" s="49"/>
      <c r="O34" s="48"/>
      <c r="P34" s="15"/>
      <c r="Q34" s="49"/>
      <c r="S34" s="48"/>
      <c r="T34" s="15"/>
      <c r="U34" s="49"/>
      <c r="V34" s="48"/>
      <c r="W34" s="15"/>
      <c r="X34" s="49"/>
      <c r="Y34" s="48"/>
      <c r="Z34" s="15"/>
      <c r="AA34" s="49"/>
      <c r="AB34" s="48"/>
      <c r="AC34" s="15"/>
      <c r="AD34" s="49"/>
    </row>
    <row r="35" spans="1:30" x14ac:dyDescent="0.25">
      <c r="A35" s="17" t="str">
        <f>Info!$B$7</f>
        <v>Gemma 4 E4B</v>
      </c>
      <c r="B35" s="33">
        <v>20</v>
      </c>
      <c r="C35" s="21">
        <f t="shared" si="1"/>
        <v>7.2</v>
      </c>
      <c r="D35" s="22">
        <v>7.2</v>
      </c>
      <c r="F35" s="48"/>
      <c r="G35" s="15"/>
      <c r="H35" s="49"/>
      <c r="I35" s="48"/>
      <c r="J35" s="15"/>
      <c r="K35" s="49"/>
      <c r="L35" s="48"/>
      <c r="M35" s="15"/>
      <c r="N35" s="49"/>
      <c r="O35" s="48"/>
      <c r="P35" s="15"/>
      <c r="Q35" s="49"/>
      <c r="S35" s="48"/>
      <c r="T35" s="15"/>
      <c r="U35" s="49"/>
      <c r="V35" s="48"/>
      <c r="W35" s="15"/>
      <c r="X35" s="49"/>
      <c r="Y35" s="48"/>
      <c r="Z35" s="15"/>
      <c r="AA35" s="49"/>
      <c r="AB35" s="48"/>
      <c r="AC35" s="15"/>
      <c r="AD35" s="49"/>
    </row>
    <row r="36" spans="1:30" x14ac:dyDescent="0.25">
      <c r="A36" s="17" t="str">
        <f>Info!$B$7</f>
        <v>Gemma 4 E4B</v>
      </c>
      <c r="B36" s="33">
        <v>50</v>
      </c>
      <c r="C36" s="21">
        <f t="shared" si="1"/>
        <v>8.68</v>
      </c>
      <c r="D36" s="22">
        <v>8.68</v>
      </c>
      <c r="F36" s="48"/>
      <c r="G36" s="15"/>
      <c r="H36" s="49"/>
      <c r="I36" s="48"/>
      <c r="J36" s="15"/>
      <c r="K36" s="49"/>
      <c r="L36" s="48"/>
      <c r="M36" s="15"/>
      <c r="N36" s="49"/>
      <c r="O36" s="48"/>
      <c r="P36" s="15"/>
      <c r="Q36" s="49"/>
      <c r="S36" s="48"/>
      <c r="T36" s="15"/>
      <c r="U36" s="49"/>
      <c r="V36" s="48"/>
      <c r="W36" s="15"/>
      <c r="X36" s="49"/>
      <c r="Y36" s="48"/>
      <c r="Z36" s="15"/>
      <c r="AA36" s="49"/>
      <c r="AB36" s="48"/>
      <c r="AC36" s="15"/>
      <c r="AD36" s="49"/>
    </row>
    <row r="37" spans="1:30" x14ac:dyDescent="0.25">
      <c r="A37" s="17" t="str">
        <f>Info!$B$7</f>
        <v>Gemma 4 E4B</v>
      </c>
      <c r="B37" s="33">
        <v>100</v>
      </c>
      <c r="C37" s="21">
        <f t="shared" si="1"/>
        <v>11.15</v>
      </c>
      <c r="D37" s="22">
        <v>11.15</v>
      </c>
      <c r="F37" s="48"/>
      <c r="G37" s="15"/>
      <c r="H37" s="49"/>
      <c r="I37" s="48"/>
      <c r="J37" s="15"/>
      <c r="K37" s="49"/>
      <c r="L37" s="48"/>
      <c r="M37" s="15"/>
      <c r="N37" s="49"/>
      <c r="O37" s="48"/>
      <c r="P37" s="15"/>
      <c r="Q37" s="49"/>
      <c r="S37" s="48"/>
      <c r="T37" s="15"/>
      <c r="U37" s="49"/>
      <c r="V37" s="48"/>
      <c r="W37" s="15"/>
      <c r="X37" s="49"/>
      <c r="Y37" s="48"/>
      <c r="Z37" s="15"/>
      <c r="AA37" s="49"/>
      <c r="AB37" s="48"/>
      <c r="AC37" s="15"/>
      <c r="AD37" s="49"/>
    </row>
    <row r="38" spans="1:30" ht="15.75" thickBot="1" x14ac:dyDescent="0.3">
      <c r="A38" s="18" t="str">
        <f>Info!$B$7</f>
        <v>Gemma 4 E4B</v>
      </c>
      <c r="B38" s="34">
        <v>150</v>
      </c>
      <c r="C38" s="54" t="s">
        <v>75</v>
      </c>
      <c r="D38" s="23" t="s">
        <v>75</v>
      </c>
      <c r="F38" s="50"/>
      <c r="G38" s="51"/>
      <c r="H38" s="52"/>
      <c r="I38" s="50"/>
      <c r="J38" s="51"/>
      <c r="K38" s="52"/>
      <c r="L38" s="50"/>
      <c r="M38" s="51"/>
      <c r="N38" s="52"/>
      <c r="O38" s="50"/>
      <c r="P38" s="51"/>
      <c r="Q38" s="52"/>
      <c r="S38" s="50"/>
      <c r="T38" s="51"/>
      <c r="U38" s="52"/>
      <c r="V38" s="50"/>
      <c r="W38" s="51"/>
      <c r="X38" s="52"/>
      <c r="Y38" s="50"/>
      <c r="Z38" s="51"/>
      <c r="AA38" s="52"/>
      <c r="AB38" s="50"/>
      <c r="AC38" s="51"/>
      <c r="AD38" s="52"/>
    </row>
    <row r="39" spans="1:30" ht="5.0999999999999996" customHeight="1" thickBot="1" x14ac:dyDescent="0.3">
      <c r="B39" s="30"/>
      <c r="C39" s="56"/>
      <c r="D39" s="31"/>
    </row>
    <row r="40" spans="1:30" x14ac:dyDescent="0.25">
      <c r="A40" s="16" t="str">
        <f>Info!$B$8</f>
        <v>Qwen3.5 9B</v>
      </c>
      <c r="B40" s="32">
        <v>4</v>
      </c>
      <c r="C40" s="55">
        <f t="shared" si="1"/>
        <v>7.06</v>
      </c>
      <c r="D40" s="20">
        <v>7.06</v>
      </c>
      <c r="F40" s="45"/>
      <c r="G40" s="46"/>
      <c r="H40" s="47"/>
      <c r="I40" s="45"/>
      <c r="J40" s="46"/>
      <c r="K40" s="47"/>
      <c r="L40" s="45"/>
      <c r="M40" s="46"/>
      <c r="N40" s="47"/>
      <c r="O40" s="45"/>
      <c r="P40" s="46"/>
      <c r="Q40" s="47"/>
      <c r="S40" s="45"/>
      <c r="T40" s="46"/>
      <c r="U40" s="47"/>
      <c r="V40" s="45"/>
      <c r="W40" s="46"/>
      <c r="X40" s="47"/>
      <c r="Y40" s="45"/>
      <c r="Z40" s="46"/>
      <c r="AA40" s="47"/>
      <c r="AB40" s="45"/>
      <c r="AC40" s="46"/>
      <c r="AD40" s="47"/>
    </row>
    <row r="41" spans="1:30" x14ac:dyDescent="0.25">
      <c r="A41" s="17" t="str">
        <f>Info!$B$8</f>
        <v>Qwen3.5 9B</v>
      </c>
      <c r="B41" s="33">
        <v>8</v>
      </c>
      <c r="C41" s="21">
        <f t="shared" si="1"/>
        <v>7.21</v>
      </c>
      <c r="D41" s="22">
        <v>7.21</v>
      </c>
      <c r="F41" s="48"/>
      <c r="G41" s="15"/>
      <c r="H41" s="49"/>
      <c r="I41" s="48"/>
      <c r="J41" s="15"/>
      <c r="K41" s="49"/>
      <c r="L41" s="48"/>
      <c r="M41" s="15"/>
      <c r="N41" s="49"/>
      <c r="O41" s="48"/>
      <c r="P41" s="15"/>
      <c r="Q41" s="49"/>
      <c r="S41" s="48"/>
      <c r="T41" s="15"/>
      <c r="U41" s="49"/>
      <c r="V41" s="48"/>
      <c r="W41" s="15"/>
      <c r="X41" s="49"/>
      <c r="Y41" s="48"/>
      <c r="Z41" s="15"/>
      <c r="AA41" s="49"/>
      <c r="AB41" s="48"/>
      <c r="AC41" s="15"/>
      <c r="AD41" s="49"/>
    </row>
    <row r="42" spans="1:30" x14ac:dyDescent="0.25">
      <c r="A42" s="17" t="str">
        <f>Info!$B$8</f>
        <v>Qwen3.5 9B</v>
      </c>
      <c r="B42" s="33">
        <v>20</v>
      </c>
      <c r="C42" s="21">
        <f t="shared" si="1"/>
        <v>7.66</v>
      </c>
      <c r="D42" s="22">
        <v>7.66</v>
      </c>
      <c r="F42" s="48"/>
      <c r="G42" s="15"/>
      <c r="H42" s="49"/>
      <c r="I42" s="48"/>
      <c r="J42" s="15"/>
      <c r="K42" s="49"/>
      <c r="L42" s="48"/>
      <c r="M42" s="15"/>
      <c r="N42" s="49"/>
      <c r="O42" s="48"/>
      <c r="P42" s="15"/>
      <c r="Q42" s="49"/>
      <c r="S42" s="48"/>
      <c r="T42" s="15"/>
      <c r="U42" s="49"/>
      <c r="V42" s="48"/>
      <c r="W42" s="15"/>
      <c r="X42" s="49"/>
      <c r="Y42" s="48"/>
      <c r="Z42" s="15"/>
      <c r="AA42" s="49"/>
      <c r="AB42" s="48"/>
      <c r="AC42" s="15"/>
      <c r="AD42" s="49"/>
    </row>
    <row r="43" spans="1:30" x14ac:dyDescent="0.25">
      <c r="A43" s="17" t="str">
        <f>Info!$B$8</f>
        <v>Qwen3.5 9B</v>
      </c>
      <c r="B43" s="33">
        <v>50</v>
      </c>
      <c r="C43" s="21">
        <f t="shared" si="1"/>
        <v>8.7899999999999991</v>
      </c>
      <c r="D43" s="22">
        <v>8.7899999999999991</v>
      </c>
      <c r="F43" s="48"/>
      <c r="G43" s="15"/>
      <c r="H43" s="49"/>
      <c r="I43" s="48"/>
      <c r="J43" s="15"/>
      <c r="K43" s="49"/>
      <c r="L43" s="48"/>
      <c r="M43" s="15"/>
      <c r="N43" s="49"/>
      <c r="O43" s="48"/>
      <c r="P43" s="15"/>
      <c r="Q43" s="49"/>
      <c r="S43" s="48"/>
      <c r="T43" s="15"/>
      <c r="U43" s="49"/>
      <c r="V43" s="48"/>
      <c r="W43" s="15"/>
      <c r="X43" s="49"/>
      <c r="Y43" s="48"/>
      <c r="Z43" s="15"/>
      <c r="AA43" s="49"/>
      <c r="AB43" s="48"/>
      <c r="AC43" s="15"/>
      <c r="AD43" s="49"/>
    </row>
    <row r="44" spans="1:30" x14ac:dyDescent="0.25">
      <c r="A44" s="17" t="str">
        <f>Info!$B$8</f>
        <v>Qwen3.5 9B</v>
      </c>
      <c r="B44" s="33">
        <v>100</v>
      </c>
      <c r="C44" s="21">
        <f t="shared" si="1"/>
        <v>10.68</v>
      </c>
      <c r="D44" s="22">
        <v>10.68</v>
      </c>
      <c r="F44" s="48"/>
      <c r="G44" s="15"/>
      <c r="H44" s="49"/>
      <c r="I44" s="48"/>
      <c r="J44" s="15"/>
      <c r="K44" s="49"/>
      <c r="L44" s="48"/>
      <c r="M44" s="15"/>
      <c r="N44" s="49"/>
      <c r="O44" s="48"/>
      <c r="P44" s="15"/>
      <c r="Q44" s="49"/>
      <c r="S44" s="48"/>
      <c r="T44" s="15"/>
      <c r="U44" s="49"/>
      <c r="V44" s="48"/>
      <c r="W44" s="15"/>
      <c r="X44" s="49"/>
      <c r="Y44" s="48"/>
      <c r="Z44" s="15"/>
      <c r="AA44" s="49"/>
      <c r="AB44" s="48"/>
      <c r="AC44" s="15"/>
      <c r="AD44" s="49"/>
    </row>
    <row r="45" spans="1:30" ht="15.75" thickBot="1" x14ac:dyDescent="0.3">
      <c r="A45" s="18" t="str">
        <f>Info!$B$8</f>
        <v>Qwen3.5 9B</v>
      </c>
      <c r="B45" s="34">
        <v>150</v>
      </c>
      <c r="C45" s="54">
        <f t="shared" si="1"/>
        <v>12.57</v>
      </c>
      <c r="D45" s="23">
        <v>12.57</v>
      </c>
      <c r="F45" s="50"/>
      <c r="G45" s="51"/>
      <c r="H45" s="52"/>
      <c r="I45" s="50"/>
      <c r="J45" s="51"/>
      <c r="K45" s="52"/>
      <c r="L45" s="50"/>
      <c r="M45" s="51"/>
      <c r="N45" s="52"/>
      <c r="O45" s="50"/>
      <c r="P45" s="51"/>
      <c r="Q45" s="52"/>
      <c r="S45" s="50"/>
      <c r="T45" s="51"/>
      <c r="U45" s="52"/>
      <c r="V45" s="50"/>
      <c r="W45" s="51"/>
      <c r="X45" s="52"/>
      <c r="Y45" s="50"/>
      <c r="Z45" s="51"/>
      <c r="AA45" s="52"/>
      <c r="AB45" s="50"/>
      <c r="AC45" s="51"/>
      <c r="AD45" s="52"/>
    </row>
    <row r="46" spans="1:30" ht="5.0999999999999996" customHeight="1" thickBot="1" x14ac:dyDescent="0.3">
      <c r="B46" s="30"/>
      <c r="C46" s="56"/>
      <c r="D46" s="31"/>
    </row>
    <row r="47" spans="1:30" x14ac:dyDescent="0.25">
      <c r="A47" s="16" t="str">
        <f>Info!$B$9</f>
        <v>Glm 4.6v Flash</v>
      </c>
      <c r="B47" s="32">
        <v>4</v>
      </c>
      <c r="C47" s="55">
        <f t="shared" si="1"/>
        <v>7.88</v>
      </c>
      <c r="D47" s="20">
        <v>7.88</v>
      </c>
      <c r="F47" s="45"/>
      <c r="G47" s="46"/>
      <c r="H47" s="47"/>
      <c r="I47" s="45"/>
      <c r="J47" s="46"/>
      <c r="K47" s="47"/>
      <c r="L47" s="45"/>
      <c r="M47" s="46"/>
      <c r="N47" s="47"/>
      <c r="O47" s="45"/>
      <c r="P47" s="46"/>
      <c r="Q47" s="47"/>
      <c r="S47" s="45"/>
      <c r="T47" s="46"/>
      <c r="U47" s="47"/>
      <c r="V47" s="45"/>
      <c r="W47" s="46"/>
      <c r="X47" s="47"/>
      <c r="Y47" s="45"/>
      <c r="Z47" s="46"/>
      <c r="AA47" s="47"/>
      <c r="AB47" s="45"/>
      <c r="AC47" s="46"/>
      <c r="AD47" s="47"/>
    </row>
    <row r="48" spans="1:30" x14ac:dyDescent="0.25">
      <c r="A48" s="17" t="str">
        <f>Info!$B$9</f>
        <v>Glm 4.6v Flash</v>
      </c>
      <c r="B48" s="33">
        <v>8</v>
      </c>
      <c r="C48" s="21">
        <f t="shared" si="1"/>
        <v>7.96</v>
      </c>
      <c r="D48" s="22">
        <v>7.96</v>
      </c>
      <c r="F48" s="48"/>
      <c r="G48" s="15"/>
      <c r="H48" s="49"/>
      <c r="I48" s="48"/>
      <c r="J48" s="15"/>
      <c r="K48" s="49"/>
      <c r="L48" s="48"/>
      <c r="M48" s="15"/>
      <c r="N48" s="49"/>
      <c r="O48" s="48"/>
      <c r="P48" s="15"/>
      <c r="Q48" s="49"/>
      <c r="S48" s="48"/>
      <c r="T48" s="15"/>
      <c r="U48" s="49"/>
      <c r="V48" s="48"/>
      <c r="W48" s="15"/>
      <c r="X48" s="49"/>
      <c r="Y48" s="48"/>
      <c r="Z48" s="15"/>
      <c r="AA48" s="49"/>
      <c r="AB48" s="48"/>
      <c r="AC48" s="15"/>
      <c r="AD48" s="49"/>
    </row>
    <row r="49" spans="1:30" x14ac:dyDescent="0.25">
      <c r="A49" s="17" t="str">
        <f>Info!$B$9</f>
        <v>Glm 4.6v Flash</v>
      </c>
      <c r="B49" s="33">
        <v>20</v>
      </c>
      <c r="C49" s="21">
        <f t="shared" si="1"/>
        <v>8.18</v>
      </c>
      <c r="D49" s="22">
        <v>8.18</v>
      </c>
      <c r="F49" s="48"/>
      <c r="G49" s="15"/>
      <c r="H49" s="49"/>
      <c r="I49" s="48"/>
      <c r="J49" s="15"/>
      <c r="K49" s="49"/>
      <c r="L49" s="48"/>
      <c r="M49" s="15"/>
      <c r="N49" s="49"/>
      <c r="O49" s="48"/>
      <c r="P49" s="15"/>
      <c r="Q49" s="49"/>
      <c r="S49" s="48"/>
      <c r="T49" s="15"/>
      <c r="U49" s="49"/>
      <c r="V49" s="48"/>
      <c r="W49" s="15"/>
      <c r="X49" s="49"/>
      <c r="Y49" s="48"/>
      <c r="Z49" s="15"/>
      <c r="AA49" s="49"/>
      <c r="AB49" s="48"/>
      <c r="AC49" s="15"/>
      <c r="AD49" s="49"/>
    </row>
    <row r="50" spans="1:30" x14ac:dyDescent="0.25">
      <c r="A50" s="17" t="str">
        <f>Info!$B$9</f>
        <v>Glm 4.6v Flash</v>
      </c>
      <c r="B50" s="33">
        <v>50</v>
      </c>
      <c r="C50" s="21">
        <f t="shared" si="1"/>
        <v>8.75</v>
      </c>
      <c r="D50" s="22">
        <v>8.75</v>
      </c>
      <c r="F50" s="48"/>
      <c r="G50" s="15"/>
      <c r="H50" s="49"/>
      <c r="I50" s="48"/>
      <c r="J50" s="15"/>
      <c r="K50" s="49"/>
      <c r="L50" s="48"/>
      <c r="M50" s="15"/>
      <c r="N50" s="49"/>
      <c r="O50" s="48"/>
      <c r="P50" s="15"/>
      <c r="Q50" s="49"/>
      <c r="S50" s="48"/>
      <c r="T50" s="15"/>
      <c r="U50" s="49"/>
      <c r="V50" s="48"/>
      <c r="W50" s="15"/>
      <c r="X50" s="49"/>
      <c r="Y50" s="48"/>
      <c r="Z50" s="15"/>
      <c r="AA50" s="49"/>
      <c r="AB50" s="48"/>
      <c r="AC50" s="15"/>
      <c r="AD50" s="49"/>
    </row>
    <row r="51" spans="1:30" x14ac:dyDescent="0.25">
      <c r="A51" s="17" t="str">
        <f>Info!$B$9</f>
        <v>Glm 4.6v Flash</v>
      </c>
      <c r="B51" s="33">
        <v>100</v>
      </c>
      <c r="C51" s="21">
        <f t="shared" si="1"/>
        <v>9.6999999999999993</v>
      </c>
      <c r="D51" s="22">
        <v>9.6999999999999993</v>
      </c>
      <c r="F51" s="48"/>
      <c r="G51" s="15"/>
      <c r="H51" s="49"/>
      <c r="I51" s="48"/>
      <c r="J51" s="15"/>
      <c r="K51" s="49"/>
      <c r="L51" s="48"/>
      <c r="M51" s="15"/>
      <c r="N51" s="49"/>
      <c r="O51" s="48"/>
      <c r="P51" s="15"/>
      <c r="Q51" s="49"/>
      <c r="S51" s="48"/>
      <c r="T51" s="15"/>
      <c r="U51" s="49"/>
      <c r="V51" s="48"/>
      <c r="W51" s="15"/>
      <c r="X51" s="49"/>
      <c r="Y51" s="48"/>
      <c r="Z51" s="15"/>
      <c r="AA51" s="49"/>
      <c r="AB51" s="48"/>
      <c r="AC51" s="15"/>
      <c r="AD51" s="49"/>
    </row>
    <row r="52" spans="1:30" ht="15.75" thickBot="1" x14ac:dyDescent="0.3">
      <c r="A52" s="18" t="str">
        <f>Info!$B$9</f>
        <v>Glm 4.6v Flash</v>
      </c>
      <c r="B52" s="34">
        <v>150</v>
      </c>
      <c r="C52" s="54" t="s">
        <v>75</v>
      </c>
      <c r="D52" s="23" t="s">
        <v>75</v>
      </c>
      <c r="F52" s="50"/>
      <c r="G52" s="51"/>
      <c r="H52" s="52"/>
      <c r="I52" s="50"/>
      <c r="J52" s="51"/>
      <c r="K52" s="52"/>
      <c r="L52" s="50"/>
      <c r="M52" s="51"/>
      <c r="N52" s="52"/>
      <c r="O52" s="50"/>
      <c r="P52" s="51"/>
      <c r="Q52" s="52"/>
      <c r="S52" s="50"/>
      <c r="T52" s="51"/>
      <c r="U52" s="52"/>
      <c r="V52" s="50"/>
      <c r="W52" s="51"/>
      <c r="X52" s="52"/>
      <c r="Y52" s="50"/>
      <c r="Z52" s="51"/>
      <c r="AA52" s="52"/>
      <c r="AB52" s="50"/>
      <c r="AC52" s="51"/>
      <c r="AD52" s="52"/>
    </row>
    <row r="53" spans="1:30" ht="5.0999999999999996" customHeight="1" thickBot="1" x14ac:dyDescent="0.3">
      <c r="C53" s="56"/>
    </row>
    <row r="54" spans="1:30" x14ac:dyDescent="0.25">
      <c r="A54" s="16" t="str">
        <f>Info!$B$10</f>
        <v>Qwen2.5 14B Instruct</v>
      </c>
      <c r="B54" s="32">
        <v>4</v>
      </c>
      <c r="C54" s="55">
        <f t="shared" si="1"/>
        <v>9.19</v>
      </c>
      <c r="D54" s="20">
        <v>9.19</v>
      </c>
      <c r="F54" s="45"/>
      <c r="G54" s="46"/>
      <c r="H54" s="47"/>
      <c r="I54" s="45"/>
      <c r="J54" s="46"/>
      <c r="K54" s="47"/>
      <c r="L54" s="45"/>
      <c r="M54" s="46"/>
      <c r="N54" s="47"/>
      <c r="O54" s="45"/>
      <c r="P54" s="46"/>
      <c r="Q54" s="47"/>
      <c r="S54" s="45"/>
      <c r="T54" s="46"/>
      <c r="U54" s="47"/>
      <c r="V54" s="45"/>
      <c r="W54" s="46"/>
      <c r="X54" s="47"/>
      <c r="Y54" s="45"/>
      <c r="Z54" s="46"/>
      <c r="AA54" s="47"/>
      <c r="AB54" s="45"/>
      <c r="AC54" s="46"/>
      <c r="AD54" s="47"/>
    </row>
    <row r="55" spans="1:30" x14ac:dyDescent="0.25">
      <c r="A55" s="17" t="str">
        <f>Info!$B$10</f>
        <v>Qwen2.5 14B Instruct</v>
      </c>
      <c r="B55" s="33">
        <v>8</v>
      </c>
      <c r="C55" s="21">
        <f t="shared" si="1"/>
        <v>9.5399999999999991</v>
      </c>
      <c r="D55" s="22">
        <v>9.5399999999999991</v>
      </c>
      <c r="F55" s="48"/>
      <c r="G55" s="15"/>
      <c r="H55" s="49"/>
      <c r="I55" s="48"/>
      <c r="J55" s="15"/>
      <c r="K55" s="49"/>
      <c r="L55" s="48"/>
      <c r="M55" s="15"/>
      <c r="N55" s="49"/>
      <c r="O55" s="48"/>
      <c r="P55" s="15"/>
      <c r="Q55" s="49"/>
      <c r="S55" s="48"/>
      <c r="T55" s="15"/>
      <c r="U55" s="49"/>
      <c r="V55" s="48"/>
      <c r="W55" s="15"/>
      <c r="X55" s="49"/>
      <c r="Y55" s="48"/>
      <c r="Z55" s="15"/>
      <c r="AA55" s="49"/>
      <c r="AB55" s="48"/>
      <c r="AC55" s="15"/>
      <c r="AD55" s="49"/>
    </row>
    <row r="56" spans="1:30" x14ac:dyDescent="0.25">
      <c r="A56" s="17" t="str">
        <f>Info!$B$10</f>
        <v>Qwen2.5 14B Instruct</v>
      </c>
      <c r="B56" s="33">
        <v>20</v>
      </c>
      <c r="C56" s="21">
        <f t="shared" si="1"/>
        <v>10.62</v>
      </c>
      <c r="D56" s="22">
        <v>10.62</v>
      </c>
      <c r="F56" s="48"/>
      <c r="G56" s="15"/>
      <c r="H56" s="49"/>
      <c r="I56" s="48"/>
      <c r="J56" s="15"/>
      <c r="K56" s="49"/>
      <c r="L56" s="48"/>
      <c r="M56" s="15"/>
      <c r="N56" s="49"/>
      <c r="O56" s="48"/>
      <c r="P56" s="15"/>
      <c r="Q56" s="49"/>
      <c r="S56" s="48"/>
      <c r="T56" s="15"/>
      <c r="U56" s="49"/>
      <c r="V56" s="48"/>
      <c r="W56" s="15"/>
      <c r="X56" s="49"/>
      <c r="Y56" s="48"/>
      <c r="Z56" s="15"/>
      <c r="AA56" s="49"/>
      <c r="AB56" s="48"/>
      <c r="AC56" s="15"/>
      <c r="AD56" s="49"/>
    </row>
    <row r="57" spans="1:30" x14ac:dyDescent="0.25">
      <c r="A57" s="17" t="str">
        <f>Info!$B$10</f>
        <v>Qwen2.5 14B Instruct</v>
      </c>
      <c r="B57" s="33">
        <v>50</v>
      </c>
      <c r="C57" s="21" t="s">
        <v>75</v>
      </c>
      <c r="D57" s="22" t="s">
        <v>75</v>
      </c>
      <c r="F57" s="48"/>
      <c r="G57" s="15"/>
      <c r="H57" s="49"/>
      <c r="I57" s="48"/>
      <c r="J57" s="15"/>
      <c r="K57" s="49"/>
      <c r="L57" s="48"/>
      <c r="M57" s="15"/>
      <c r="N57" s="49"/>
      <c r="O57" s="48"/>
      <c r="P57" s="15"/>
      <c r="Q57" s="49"/>
      <c r="S57" s="48"/>
      <c r="T57" s="15"/>
      <c r="U57" s="49"/>
      <c r="V57" s="48"/>
      <c r="W57" s="15"/>
      <c r="X57" s="49"/>
      <c r="Y57" s="48"/>
      <c r="Z57" s="15"/>
      <c r="AA57" s="49"/>
      <c r="AB57" s="48"/>
      <c r="AC57" s="15"/>
      <c r="AD57" s="49"/>
    </row>
    <row r="58" spans="1:30" x14ac:dyDescent="0.25">
      <c r="A58" s="17" t="str">
        <f>Info!$B$10</f>
        <v>Qwen2.5 14B Instruct</v>
      </c>
      <c r="B58" s="33">
        <v>100</v>
      </c>
      <c r="C58" s="21" t="s">
        <v>75</v>
      </c>
      <c r="D58" s="22" t="s">
        <v>75</v>
      </c>
      <c r="F58" s="48"/>
      <c r="G58" s="15"/>
      <c r="H58" s="49"/>
      <c r="I58" s="48"/>
      <c r="J58" s="15"/>
      <c r="K58" s="49"/>
      <c r="L58" s="48"/>
      <c r="M58" s="15"/>
      <c r="N58" s="49"/>
      <c r="O58" s="48"/>
      <c r="P58" s="15"/>
      <c r="Q58" s="49"/>
      <c r="S58" s="48"/>
      <c r="T58" s="15"/>
      <c r="U58" s="49"/>
      <c r="V58" s="48"/>
      <c r="W58" s="15"/>
      <c r="X58" s="49"/>
      <c r="Y58" s="48"/>
      <c r="Z58" s="15"/>
      <c r="AA58" s="49"/>
      <c r="AB58" s="48"/>
      <c r="AC58" s="15"/>
      <c r="AD58" s="49"/>
    </row>
    <row r="59" spans="1:30" ht="15.75" thickBot="1" x14ac:dyDescent="0.3">
      <c r="A59" s="18" t="str">
        <f>Info!$B$10</f>
        <v>Qwen2.5 14B Instruct</v>
      </c>
      <c r="B59" s="34">
        <v>150</v>
      </c>
      <c r="C59" s="54" t="s">
        <v>75</v>
      </c>
      <c r="D59" s="23" t="s">
        <v>75</v>
      </c>
      <c r="F59" s="50"/>
      <c r="G59" s="51"/>
      <c r="H59" s="52"/>
      <c r="I59" s="50"/>
      <c r="J59" s="51"/>
      <c r="K59" s="52"/>
      <c r="L59" s="50"/>
      <c r="M59" s="51"/>
      <c r="N59" s="52"/>
      <c r="O59" s="50"/>
      <c r="P59" s="51"/>
      <c r="Q59" s="52"/>
      <c r="S59" s="50"/>
      <c r="T59" s="51"/>
      <c r="U59" s="52"/>
      <c r="V59" s="50"/>
      <c r="W59" s="51"/>
      <c r="X59" s="52"/>
      <c r="Y59" s="50"/>
      <c r="Z59" s="51"/>
      <c r="AA59" s="52"/>
      <c r="AB59" s="50"/>
      <c r="AC59" s="51"/>
      <c r="AD59" s="52"/>
    </row>
    <row r="60" spans="1:30" ht="5.0999999999999996" customHeight="1" thickBot="1" x14ac:dyDescent="0.3">
      <c r="C60" s="56"/>
    </row>
    <row r="61" spans="1:30" x14ac:dyDescent="0.25">
      <c r="A61" s="16" t="str">
        <f>Info!$B$11</f>
        <v>Ministral 3 14B Reasoning</v>
      </c>
      <c r="B61" s="32">
        <v>4</v>
      </c>
      <c r="C61" s="55">
        <f t="shared" si="1"/>
        <v>9.33</v>
      </c>
      <c r="D61" s="20">
        <v>9.33</v>
      </c>
      <c r="F61" s="45"/>
      <c r="G61" s="46"/>
      <c r="H61" s="47"/>
      <c r="I61" s="45"/>
      <c r="J61" s="46"/>
      <c r="K61" s="47"/>
      <c r="L61" s="45"/>
      <c r="M61" s="46"/>
      <c r="N61" s="47"/>
      <c r="O61" s="45"/>
      <c r="P61" s="46"/>
      <c r="Q61" s="47"/>
      <c r="S61" s="45"/>
      <c r="T61" s="46"/>
      <c r="U61" s="47"/>
      <c r="V61" s="45"/>
      <c r="W61" s="46"/>
      <c r="X61" s="47"/>
      <c r="Y61" s="45"/>
      <c r="Z61" s="46"/>
      <c r="AA61" s="47"/>
      <c r="AB61" s="45"/>
      <c r="AC61" s="46"/>
      <c r="AD61" s="47"/>
    </row>
    <row r="62" spans="1:30" x14ac:dyDescent="0.25">
      <c r="A62" s="17" t="str">
        <f>Info!$B$11</f>
        <v>Ministral 3 14B Reasoning</v>
      </c>
      <c r="B62" s="33">
        <v>8</v>
      </c>
      <c r="C62" s="21">
        <f t="shared" si="1"/>
        <v>9.6999999999999993</v>
      </c>
      <c r="D62" s="22">
        <v>9.6999999999999993</v>
      </c>
      <c r="F62" s="48"/>
      <c r="G62" s="15"/>
      <c r="H62" s="49"/>
      <c r="I62" s="48"/>
      <c r="J62" s="15"/>
      <c r="K62" s="49"/>
      <c r="L62" s="48"/>
      <c r="M62" s="15"/>
      <c r="N62" s="49"/>
      <c r="O62" s="48"/>
      <c r="P62" s="15"/>
      <c r="Q62" s="49"/>
      <c r="S62" s="48"/>
      <c r="T62" s="15"/>
      <c r="U62" s="49"/>
      <c r="V62" s="48"/>
      <c r="W62" s="15"/>
      <c r="X62" s="49"/>
      <c r="Y62" s="48"/>
      <c r="Z62" s="15"/>
      <c r="AA62" s="49"/>
      <c r="AB62" s="48"/>
      <c r="AC62" s="15"/>
      <c r="AD62" s="49"/>
    </row>
    <row r="63" spans="1:30" x14ac:dyDescent="0.25">
      <c r="A63" s="17" t="str">
        <f>Info!$B$11</f>
        <v>Ministral 3 14B Reasoning</v>
      </c>
      <c r="B63" s="33">
        <v>20</v>
      </c>
      <c r="C63" s="21">
        <f t="shared" si="1"/>
        <v>10.83</v>
      </c>
      <c r="D63" s="22">
        <v>10.83</v>
      </c>
      <c r="F63" s="48"/>
      <c r="G63" s="15"/>
      <c r="H63" s="49"/>
      <c r="I63" s="48"/>
      <c r="J63" s="15"/>
      <c r="K63" s="49"/>
      <c r="L63" s="48"/>
      <c r="M63" s="15"/>
      <c r="N63" s="49"/>
      <c r="O63" s="48"/>
      <c r="P63" s="15"/>
      <c r="Q63" s="49"/>
      <c r="S63" s="48"/>
      <c r="T63" s="15"/>
      <c r="U63" s="49"/>
      <c r="V63" s="48"/>
      <c r="W63" s="15"/>
      <c r="X63" s="49"/>
      <c r="Y63" s="48"/>
      <c r="Z63" s="15"/>
      <c r="AA63" s="49"/>
      <c r="AB63" s="48"/>
      <c r="AC63" s="15"/>
      <c r="AD63" s="49"/>
    </row>
    <row r="64" spans="1:30" x14ac:dyDescent="0.25">
      <c r="A64" s="17" t="str">
        <f>Info!$B$11</f>
        <v>Ministral 3 14B Reasoning</v>
      </c>
      <c r="B64" s="33">
        <v>50</v>
      </c>
      <c r="C64" s="21">
        <f t="shared" si="1"/>
        <v>13.65</v>
      </c>
      <c r="D64" s="22">
        <v>13.65</v>
      </c>
      <c r="F64" s="48"/>
      <c r="G64" s="15"/>
      <c r="H64" s="49"/>
      <c r="I64" s="48"/>
      <c r="J64" s="15"/>
      <c r="K64" s="49"/>
      <c r="L64" s="48"/>
      <c r="M64" s="15"/>
      <c r="N64" s="49"/>
      <c r="O64" s="48"/>
      <c r="P64" s="15"/>
      <c r="Q64" s="49"/>
      <c r="S64" s="48"/>
      <c r="T64" s="15"/>
      <c r="U64" s="49"/>
      <c r="V64" s="48"/>
      <c r="W64" s="15"/>
      <c r="X64" s="49"/>
      <c r="Y64" s="48"/>
      <c r="Z64" s="15"/>
      <c r="AA64" s="49"/>
      <c r="AB64" s="48"/>
      <c r="AC64" s="15"/>
      <c r="AD64" s="49"/>
    </row>
    <row r="65" spans="1:30" x14ac:dyDescent="0.25">
      <c r="A65" s="17" t="str">
        <f>Info!$B$11</f>
        <v>Ministral 3 14B Reasoning</v>
      </c>
      <c r="B65" s="33">
        <v>100</v>
      </c>
      <c r="C65" s="21">
        <f t="shared" si="1"/>
        <v>16</v>
      </c>
      <c r="D65" s="22">
        <v>18.34</v>
      </c>
      <c r="F65" s="48"/>
      <c r="G65" s="15"/>
      <c r="H65" s="49"/>
      <c r="I65" s="48"/>
      <c r="J65" s="15"/>
      <c r="K65" s="49"/>
      <c r="L65" s="48"/>
      <c r="M65" s="15"/>
      <c r="N65" s="49"/>
      <c r="O65" s="48"/>
      <c r="P65" s="15"/>
      <c r="Q65" s="49"/>
      <c r="S65" s="48"/>
      <c r="T65" s="15"/>
      <c r="U65" s="49"/>
      <c r="V65" s="48"/>
      <c r="W65" s="15"/>
      <c r="X65" s="49"/>
      <c r="Y65" s="48"/>
      <c r="Z65" s="15"/>
      <c r="AA65" s="49"/>
      <c r="AB65" s="48"/>
      <c r="AC65" s="15"/>
      <c r="AD65" s="49"/>
    </row>
    <row r="66" spans="1:30" ht="15.75" thickBot="1" x14ac:dyDescent="0.3">
      <c r="A66" s="18" t="str">
        <f>Info!$B$11</f>
        <v>Ministral 3 14B Reasoning</v>
      </c>
      <c r="B66" s="34">
        <v>150</v>
      </c>
      <c r="C66" s="54">
        <f t="shared" si="1"/>
        <v>16</v>
      </c>
      <c r="D66" s="23">
        <v>23.04</v>
      </c>
      <c r="F66" s="50"/>
      <c r="G66" s="51"/>
      <c r="H66" s="52"/>
      <c r="I66" s="50"/>
      <c r="J66" s="51"/>
      <c r="K66" s="52"/>
      <c r="L66" s="50"/>
      <c r="M66" s="51"/>
      <c r="N66" s="52"/>
      <c r="O66" s="50"/>
      <c r="P66" s="51"/>
      <c r="Q66" s="52"/>
      <c r="S66" s="50"/>
      <c r="T66" s="51"/>
      <c r="U66" s="52"/>
      <c r="V66" s="50"/>
      <c r="W66" s="51"/>
      <c r="X66" s="52"/>
      <c r="Y66" s="50"/>
      <c r="Z66" s="51"/>
      <c r="AA66" s="52"/>
      <c r="AB66" s="50"/>
      <c r="AC66" s="51"/>
      <c r="AD66" s="52"/>
    </row>
    <row r="67" spans="1:30" ht="5.0999999999999996" customHeight="1" thickBot="1" x14ac:dyDescent="0.3">
      <c r="C67" s="56"/>
    </row>
    <row r="68" spans="1:30" x14ac:dyDescent="0.25">
      <c r="A68" s="16" t="str">
        <f>Info!$B$12</f>
        <v>GPT-OSS 20B</v>
      </c>
      <c r="B68" s="32">
        <v>4</v>
      </c>
      <c r="C68" s="55">
        <f t="shared" si="1"/>
        <v>11.95</v>
      </c>
      <c r="D68" s="20">
        <v>11.95</v>
      </c>
      <c r="F68" s="45"/>
      <c r="G68" s="46"/>
      <c r="H68" s="47"/>
      <c r="I68" s="45"/>
      <c r="J68" s="46"/>
      <c r="K68" s="47"/>
      <c r="L68" s="45"/>
      <c r="M68" s="46"/>
      <c r="N68" s="47"/>
      <c r="O68" s="45"/>
      <c r="P68" s="46"/>
      <c r="Q68" s="47"/>
      <c r="S68" s="45"/>
      <c r="T68" s="46"/>
      <c r="U68" s="47"/>
      <c r="V68" s="45"/>
      <c r="W68" s="46"/>
      <c r="X68" s="47"/>
      <c r="Y68" s="45"/>
      <c r="Z68" s="46"/>
      <c r="AA68" s="47"/>
      <c r="AB68" s="45"/>
      <c r="AC68" s="46"/>
      <c r="AD68" s="47"/>
    </row>
    <row r="69" spans="1:30" x14ac:dyDescent="0.25">
      <c r="A69" s="17" t="str">
        <f>Info!$B$12</f>
        <v>GPT-OSS 20B</v>
      </c>
      <c r="B69" s="33">
        <v>8</v>
      </c>
      <c r="C69" s="21">
        <f t="shared" si="1"/>
        <v>12.01</v>
      </c>
      <c r="D69" s="22">
        <v>12.01</v>
      </c>
      <c r="F69" s="48"/>
      <c r="G69" s="15"/>
      <c r="H69" s="49"/>
      <c r="I69" s="48"/>
      <c r="J69" s="15"/>
      <c r="K69" s="49"/>
      <c r="L69" s="48"/>
      <c r="M69" s="15"/>
      <c r="N69" s="49"/>
      <c r="O69" s="48"/>
      <c r="P69" s="15"/>
      <c r="Q69" s="49"/>
      <c r="S69" s="48"/>
      <c r="T69" s="15"/>
      <c r="U69" s="49"/>
      <c r="V69" s="48"/>
      <c r="W69" s="15"/>
      <c r="X69" s="49"/>
      <c r="Y69" s="48"/>
      <c r="Z69" s="15"/>
      <c r="AA69" s="49"/>
      <c r="AB69" s="48"/>
      <c r="AC69" s="15"/>
      <c r="AD69" s="49"/>
    </row>
    <row r="70" spans="1:30" x14ac:dyDescent="0.25">
      <c r="A70" s="17" t="str">
        <f>Info!$B$12</f>
        <v>GPT-OSS 20B</v>
      </c>
      <c r="B70" s="33">
        <v>20</v>
      </c>
      <c r="C70" s="21">
        <f t="shared" si="1"/>
        <v>12.2</v>
      </c>
      <c r="D70" s="22">
        <v>12.2</v>
      </c>
      <c r="F70" s="48"/>
      <c r="G70" s="15"/>
      <c r="H70" s="49"/>
      <c r="I70" s="48"/>
      <c r="J70" s="15"/>
      <c r="K70" s="49"/>
      <c r="L70" s="48"/>
      <c r="M70" s="15"/>
      <c r="N70" s="49"/>
      <c r="O70" s="48"/>
      <c r="P70" s="15"/>
      <c r="Q70" s="49"/>
      <c r="S70" s="48"/>
      <c r="T70" s="15"/>
      <c r="U70" s="49"/>
      <c r="V70" s="48"/>
      <c r="W70" s="15"/>
      <c r="X70" s="49"/>
      <c r="Y70" s="48"/>
      <c r="Z70" s="15"/>
      <c r="AA70" s="49"/>
      <c r="AB70" s="48"/>
      <c r="AC70" s="15"/>
      <c r="AD70" s="49"/>
    </row>
    <row r="71" spans="1:30" x14ac:dyDescent="0.25">
      <c r="A71" s="17" t="str">
        <f>Info!$B$12</f>
        <v>GPT-OSS 20B</v>
      </c>
      <c r="B71" s="33">
        <v>50</v>
      </c>
      <c r="C71" s="21">
        <f t="shared" si="1"/>
        <v>12.68</v>
      </c>
      <c r="D71" s="22">
        <v>12.68</v>
      </c>
      <c r="F71" s="48"/>
      <c r="G71" s="15"/>
      <c r="H71" s="49"/>
      <c r="I71" s="48"/>
      <c r="J71" s="15"/>
      <c r="K71" s="49"/>
      <c r="L71" s="48"/>
      <c r="M71" s="15"/>
      <c r="N71" s="49"/>
      <c r="O71" s="48"/>
      <c r="P71" s="15"/>
      <c r="Q71" s="49"/>
      <c r="S71" s="48"/>
      <c r="T71" s="15"/>
      <c r="U71" s="49"/>
      <c r="V71" s="48"/>
      <c r="W71" s="15"/>
      <c r="X71" s="49"/>
      <c r="Y71" s="48"/>
      <c r="Z71" s="15"/>
      <c r="AA71" s="49"/>
      <c r="AB71" s="48"/>
      <c r="AC71" s="15"/>
      <c r="AD71" s="49"/>
    </row>
    <row r="72" spans="1:30" x14ac:dyDescent="0.25">
      <c r="A72" s="17" t="str">
        <f>Info!$B$12</f>
        <v>GPT-OSS 20B</v>
      </c>
      <c r="B72" s="33">
        <v>100</v>
      </c>
      <c r="C72" s="21">
        <f t="shared" si="1"/>
        <v>13.49</v>
      </c>
      <c r="D72" s="22">
        <v>13.49</v>
      </c>
      <c r="F72" s="48"/>
      <c r="G72" s="15"/>
      <c r="H72" s="49"/>
      <c r="I72" s="48"/>
      <c r="J72" s="15"/>
      <c r="K72" s="49"/>
      <c r="L72" s="48"/>
      <c r="M72" s="15"/>
      <c r="N72" s="49"/>
      <c r="O72" s="48"/>
      <c r="P72" s="15"/>
      <c r="Q72" s="49"/>
      <c r="S72" s="48"/>
      <c r="T72" s="15"/>
      <c r="U72" s="49"/>
      <c r="V72" s="48"/>
      <c r="W72" s="15"/>
      <c r="X72" s="49"/>
      <c r="Y72" s="48"/>
      <c r="Z72" s="15"/>
      <c r="AA72" s="49"/>
      <c r="AB72" s="48"/>
      <c r="AC72" s="15"/>
      <c r="AD72" s="49"/>
    </row>
    <row r="73" spans="1:30" ht="15.75" thickBot="1" x14ac:dyDescent="0.3">
      <c r="A73" s="18" t="str">
        <f>Info!$B$12</f>
        <v>GPT-OSS 20B</v>
      </c>
      <c r="B73" s="34">
        <v>150</v>
      </c>
      <c r="C73" s="54" t="s">
        <v>75</v>
      </c>
      <c r="D73" s="23" t="s">
        <v>75</v>
      </c>
      <c r="F73" s="50"/>
      <c r="G73" s="51"/>
      <c r="H73" s="52"/>
      <c r="I73" s="50"/>
      <c r="J73" s="51"/>
      <c r="K73" s="52"/>
      <c r="L73" s="50"/>
      <c r="M73" s="51"/>
      <c r="N73" s="52"/>
      <c r="O73" s="50"/>
      <c r="P73" s="51"/>
      <c r="Q73" s="52"/>
      <c r="S73" s="50"/>
      <c r="T73" s="51"/>
      <c r="U73" s="52"/>
      <c r="V73" s="50"/>
      <c r="W73" s="51"/>
      <c r="X73" s="52"/>
      <c r="Y73" s="50"/>
      <c r="Z73" s="51"/>
      <c r="AA73" s="52"/>
      <c r="AB73" s="50"/>
      <c r="AC73" s="51"/>
      <c r="AD73" s="52"/>
    </row>
    <row r="74" spans="1:30" ht="5.0999999999999996" customHeight="1" thickBot="1" x14ac:dyDescent="0.3">
      <c r="C74" s="56"/>
    </row>
    <row r="75" spans="1:30" x14ac:dyDescent="0.25">
      <c r="A75" s="16" t="str">
        <f>Info!$B$13</f>
        <v>Gemma 3 27B</v>
      </c>
      <c r="B75" s="32">
        <v>4</v>
      </c>
      <c r="C75" s="55">
        <f t="shared" si="1"/>
        <v>12.89</v>
      </c>
      <c r="D75" s="20">
        <v>12.89</v>
      </c>
      <c r="F75" s="45"/>
      <c r="G75" s="46"/>
      <c r="H75" s="47"/>
      <c r="I75" s="45"/>
      <c r="J75" s="46"/>
      <c r="K75" s="47"/>
      <c r="L75" s="45"/>
      <c r="M75" s="46"/>
      <c r="N75" s="47"/>
      <c r="O75" s="45"/>
      <c r="P75" s="46"/>
      <c r="Q75" s="47"/>
      <c r="S75" s="45"/>
      <c r="T75" s="46"/>
      <c r="U75" s="47"/>
      <c r="V75" s="45"/>
      <c r="W75" s="46"/>
      <c r="X75" s="47"/>
      <c r="Y75" s="45"/>
      <c r="Z75" s="46"/>
      <c r="AA75" s="47"/>
      <c r="AB75" s="45"/>
      <c r="AC75" s="46"/>
      <c r="AD75" s="47"/>
    </row>
    <row r="76" spans="1:30" x14ac:dyDescent="0.25">
      <c r="A76" s="17" t="str">
        <f>Info!$B$13</f>
        <v>Gemma 3 27B</v>
      </c>
      <c r="B76" s="33">
        <v>8</v>
      </c>
      <c r="C76" s="21">
        <f t="shared" si="1"/>
        <v>13.77</v>
      </c>
      <c r="D76" s="22">
        <v>13.77</v>
      </c>
      <c r="F76" s="48"/>
      <c r="G76" s="15"/>
      <c r="H76" s="49"/>
      <c r="I76" s="48"/>
      <c r="J76" s="15"/>
      <c r="K76" s="49"/>
      <c r="L76" s="48"/>
      <c r="M76" s="15"/>
      <c r="N76" s="49"/>
      <c r="O76" s="48"/>
      <c r="P76" s="15"/>
      <c r="Q76" s="49"/>
      <c r="S76" s="48"/>
      <c r="T76" s="15"/>
      <c r="U76" s="49"/>
      <c r="V76" s="48"/>
      <c r="W76" s="15"/>
      <c r="X76" s="49"/>
      <c r="Y76" s="48"/>
      <c r="Z76" s="15"/>
      <c r="AA76" s="49"/>
      <c r="AB76" s="48"/>
      <c r="AC76" s="15"/>
      <c r="AD76" s="49"/>
    </row>
    <row r="77" spans="1:30" x14ac:dyDescent="0.25">
      <c r="A77" s="17" t="str">
        <f>Info!$B$13</f>
        <v>Gemma 3 27B</v>
      </c>
      <c r="B77" s="33">
        <v>20</v>
      </c>
      <c r="C77" s="21">
        <f t="shared" si="1"/>
        <v>16</v>
      </c>
      <c r="D77" s="22">
        <v>16.489999999999998</v>
      </c>
      <c r="F77" s="48"/>
      <c r="G77" s="15"/>
      <c r="H77" s="49"/>
      <c r="I77" s="48"/>
      <c r="J77" s="15"/>
      <c r="K77" s="49"/>
      <c r="L77" s="48"/>
      <c r="M77" s="15"/>
      <c r="N77" s="49"/>
      <c r="O77" s="48"/>
      <c r="P77" s="15"/>
      <c r="Q77" s="49"/>
      <c r="S77" s="48"/>
      <c r="T77" s="15"/>
      <c r="U77" s="49"/>
      <c r="V77" s="48"/>
      <c r="W77" s="15"/>
      <c r="X77" s="49"/>
      <c r="Y77" s="48"/>
      <c r="Z77" s="15"/>
      <c r="AA77" s="49"/>
      <c r="AB77" s="48"/>
      <c r="AC77" s="15"/>
      <c r="AD77" s="49"/>
    </row>
    <row r="78" spans="1:30" x14ac:dyDescent="0.25">
      <c r="A78" s="17" t="str">
        <f>Info!$B$13</f>
        <v>Gemma 3 27B</v>
      </c>
      <c r="B78" s="33">
        <v>50</v>
      </c>
      <c r="C78" s="21">
        <f t="shared" si="1"/>
        <v>16</v>
      </c>
      <c r="D78" s="22">
        <v>23.29</v>
      </c>
      <c r="F78" s="48"/>
      <c r="G78" s="15"/>
      <c r="H78" s="49"/>
      <c r="I78" s="48"/>
      <c r="J78" s="15"/>
      <c r="K78" s="49"/>
      <c r="L78" s="48"/>
      <c r="M78" s="15"/>
      <c r="N78" s="49"/>
      <c r="O78" s="48"/>
      <c r="P78" s="15"/>
      <c r="Q78" s="49"/>
      <c r="S78" s="48"/>
      <c r="T78" s="15"/>
      <c r="U78" s="49"/>
      <c r="V78" s="48"/>
      <c r="W78" s="15"/>
      <c r="X78" s="49"/>
      <c r="Y78" s="48"/>
      <c r="Z78" s="15"/>
      <c r="AA78" s="49"/>
      <c r="AB78" s="48"/>
      <c r="AC78" s="15"/>
      <c r="AD78" s="49"/>
    </row>
    <row r="79" spans="1:30" x14ac:dyDescent="0.25">
      <c r="A79" s="17" t="str">
        <f>Info!$B$13</f>
        <v>Gemma 3 27B</v>
      </c>
      <c r="B79" s="33">
        <v>100</v>
      </c>
      <c r="C79" s="21">
        <f t="shared" si="1"/>
        <v>16</v>
      </c>
      <c r="D79" s="22">
        <v>34.619999999999997</v>
      </c>
      <c r="F79" s="48"/>
      <c r="G79" s="15"/>
      <c r="H79" s="49"/>
      <c r="I79" s="48"/>
      <c r="J79" s="15"/>
      <c r="K79" s="49"/>
      <c r="L79" s="48"/>
      <c r="M79" s="15"/>
      <c r="N79" s="49"/>
      <c r="O79" s="48"/>
      <c r="P79" s="15"/>
      <c r="Q79" s="49"/>
      <c r="S79" s="48"/>
      <c r="T79" s="15"/>
      <c r="U79" s="49"/>
      <c r="V79" s="48"/>
      <c r="W79" s="15"/>
      <c r="X79" s="49"/>
      <c r="Y79" s="48"/>
      <c r="Z79" s="15"/>
      <c r="AA79" s="49"/>
      <c r="AB79" s="48"/>
      <c r="AC79" s="15"/>
      <c r="AD79" s="49"/>
    </row>
    <row r="80" spans="1:30" ht="15.75" thickBot="1" x14ac:dyDescent="0.3">
      <c r="A80" s="18" t="str">
        <f>Info!$B$13</f>
        <v>Gemma 3 27B</v>
      </c>
      <c r="B80" s="34">
        <v>150</v>
      </c>
      <c r="C80" s="54" t="s">
        <v>75</v>
      </c>
      <c r="D80" s="23" t="s">
        <v>75</v>
      </c>
      <c r="F80" s="50"/>
      <c r="G80" s="51"/>
      <c r="H80" s="52"/>
      <c r="I80" s="50"/>
      <c r="J80" s="51"/>
      <c r="K80" s="52"/>
      <c r="L80" s="50"/>
      <c r="M80" s="51"/>
      <c r="N80" s="52"/>
      <c r="O80" s="50"/>
      <c r="P80" s="51"/>
      <c r="Q80" s="52"/>
      <c r="S80" s="50"/>
      <c r="T80" s="51"/>
      <c r="U80" s="52"/>
      <c r="V80" s="50"/>
      <c r="W80" s="51"/>
      <c r="X80" s="52"/>
      <c r="Y80" s="50"/>
      <c r="Z80" s="51"/>
      <c r="AA80" s="52"/>
      <c r="AB80" s="50"/>
      <c r="AC80" s="51"/>
      <c r="AD80" s="52"/>
    </row>
    <row r="81" spans="1:30" ht="5.0999999999999996" customHeight="1" thickBot="1" x14ac:dyDescent="0.3">
      <c r="C81" s="56"/>
    </row>
    <row r="82" spans="1:30" x14ac:dyDescent="0.25">
      <c r="A82" s="16" t="str">
        <f>Info!$B$14</f>
        <v>Gemma 4 26B A4B</v>
      </c>
      <c r="B82" s="32">
        <v>4</v>
      </c>
      <c r="C82" s="55">
        <f t="shared" si="1"/>
        <v>16</v>
      </c>
      <c r="D82" s="20">
        <v>17.93</v>
      </c>
      <c r="F82" s="45"/>
      <c r="G82" s="46"/>
      <c r="H82" s="47"/>
      <c r="I82" s="45"/>
      <c r="J82" s="46"/>
      <c r="K82" s="47"/>
      <c r="L82" s="45"/>
      <c r="M82" s="46"/>
      <c r="N82" s="47"/>
      <c r="O82" s="45"/>
      <c r="P82" s="46"/>
      <c r="Q82" s="47"/>
      <c r="S82" s="45"/>
      <c r="T82" s="46"/>
      <c r="U82" s="47"/>
      <c r="V82" s="45"/>
      <c r="W82" s="46"/>
      <c r="X82" s="47"/>
      <c r="Y82" s="45"/>
      <c r="Z82" s="46"/>
      <c r="AA82" s="47"/>
      <c r="AB82" s="45"/>
      <c r="AC82" s="46"/>
      <c r="AD82" s="47"/>
    </row>
    <row r="83" spans="1:30" x14ac:dyDescent="0.25">
      <c r="A83" s="17" t="str">
        <f>Info!$B$14</f>
        <v>Gemma 4 26B A4B</v>
      </c>
      <c r="B83" s="33">
        <v>8</v>
      </c>
      <c r="C83" s="21">
        <f t="shared" si="1"/>
        <v>16</v>
      </c>
      <c r="D83" s="22">
        <v>18.190000000000001</v>
      </c>
      <c r="F83" s="48"/>
      <c r="G83" s="15"/>
      <c r="H83" s="49"/>
      <c r="I83" s="48"/>
      <c r="J83" s="15"/>
      <c r="K83" s="49"/>
      <c r="L83" s="48"/>
      <c r="M83" s="15"/>
      <c r="N83" s="49"/>
      <c r="O83" s="48"/>
      <c r="P83" s="15"/>
      <c r="Q83" s="49"/>
      <c r="S83" s="48"/>
      <c r="T83" s="15"/>
      <c r="U83" s="49"/>
      <c r="V83" s="48"/>
      <c r="W83" s="15"/>
      <c r="X83" s="49"/>
      <c r="Y83" s="48"/>
      <c r="Z83" s="15"/>
      <c r="AA83" s="49"/>
      <c r="AB83" s="48"/>
      <c r="AC83" s="15"/>
      <c r="AD83" s="49"/>
    </row>
    <row r="84" spans="1:30" x14ac:dyDescent="0.25">
      <c r="A84" s="17" t="str">
        <f>Info!$B$14</f>
        <v>Gemma 4 26B A4B</v>
      </c>
      <c r="B84" s="33">
        <v>20</v>
      </c>
      <c r="C84" s="21">
        <f t="shared" si="1"/>
        <v>16</v>
      </c>
      <c r="D84" s="22">
        <v>19.010000000000002</v>
      </c>
      <c r="F84" s="48"/>
      <c r="G84" s="15"/>
      <c r="H84" s="49"/>
      <c r="I84" s="48"/>
      <c r="J84" s="15"/>
      <c r="K84" s="49"/>
      <c r="L84" s="48"/>
      <c r="M84" s="15"/>
      <c r="N84" s="49"/>
      <c r="O84" s="48"/>
      <c r="P84" s="15"/>
      <c r="Q84" s="49"/>
      <c r="S84" s="48"/>
      <c r="T84" s="15"/>
      <c r="U84" s="49"/>
      <c r="V84" s="48"/>
      <c r="W84" s="15"/>
      <c r="X84" s="49"/>
      <c r="Y84" s="48"/>
      <c r="Z84" s="15"/>
      <c r="AA84" s="49"/>
      <c r="AB84" s="48"/>
      <c r="AC84" s="15"/>
      <c r="AD84" s="49"/>
    </row>
    <row r="85" spans="1:30" x14ac:dyDescent="0.25">
      <c r="A85" s="17" t="str">
        <f>Info!$B$14</f>
        <v>Gemma 4 26B A4B</v>
      </c>
      <c r="B85" s="33">
        <v>50</v>
      </c>
      <c r="C85" s="21">
        <f t="shared" ref="C85:C121" si="2">IF(D85 &lt;= 16,D85,16)</f>
        <v>16</v>
      </c>
      <c r="D85" s="22">
        <v>21.05</v>
      </c>
      <c r="F85" s="48"/>
      <c r="G85" s="15"/>
      <c r="H85" s="49"/>
      <c r="I85" s="48"/>
      <c r="J85" s="15"/>
      <c r="K85" s="49"/>
      <c r="L85" s="48"/>
      <c r="M85" s="15"/>
      <c r="N85" s="49"/>
      <c r="O85" s="48"/>
      <c r="P85" s="15"/>
      <c r="Q85" s="49"/>
      <c r="S85" s="48"/>
      <c r="T85" s="15"/>
      <c r="U85" s="49"/>
      <c r="V85" s="48"/>
      <c r="W85" s="15"/>
      <c r="X85" s="49"/>
      <c r="Y85" s="48"/>
      <c r="Z85" s="15"/>
      <c r="AA85" s="49"/>
      <c r="AB85" s="48"/>
      <c r="AC85" s="15"/>
      <c r="AD85" s="49"/>
    </row>
    <row r="86" spans="1:30" x14ac:dyDescent="0.25">
      <c r="A86" s="17" t="str">
        <f>Info!$B$14</f>
        <v>Gemma 4 26B A4B</v>
      </c>
      <c r="B86" s="33">
        <v>100</v>
      </c>
      <c r="C86" s="21">
        <f t="shared" si="2"/>
        <v>16</v>
      </c>
      <c r="D86" s="22">
        <v>24.44</v>
      </c>
      <c r="F86" s="48"/>
      <c r="G86" s="15"/>
      <c r="H86" s="49"/>
      <c r="I86" s="48"/>
      <c r="J86" s="15"/>
      <c r="K86" s="49"/>
      <c r="L86" s="48"/>
      <c r="M86" s="15"/>
      <c r="N86" s="49"/>
      <c r="O86" s="48"/>
      <c r="P86" s="15"/>
      <c r="Q86" s="49"/>
      <c r="S86" s="48"/>
      <c r="T86" s="15"/>
      <c r="U86" s="49"/>
      <c r="V86" s="48"/>
      <c r="W86" s="15"/>
      <c r="X86" s="49"/>
      <c r="Y86" s="48"/>
      <c r="Z86" s="15"/>
      <c r="AA86" s="49"/>
      <c r="AB86" s="48"/>
      <c r="AC86" s="15"/>
      <c r="AD86" s="49"/>
    </row>
    <row r="87" spans="1:30" ht="15.75" thickBot="1" x14ac:dyDescent="0.3">
      <c r="A87" s="18" t="str">
        <f>Info!$B$14</f>
        <v>Gemma 4 26B A4B</v>
      </c>
      <c r="B87" s="34">
        <v>150</v>
      </c>
      <c r="C87" s="54">
        <f t="shared" si="2"/>
        <v>16</v>
      </c>
      <c r="D87" s="23">
        <v>27.84</v>
      </c>
      <c r="F87" s="50"/>
      <c r="G87" s="51"/>
      <c r="H87" s="52"/>
      <c r="I87" s="50"/>
      <c r="J87" s="51"/>
      <c r="K87" s="52"/>
      <c r="L87" s="50"/>
      <c r="M87" s="51"/>
      <c r="N87" s="52"/>
      <c r="O87" s="50"/>
      <c r="P87" s="51"/>
      <c r="Q87" s="52"/>
      <c r="S87" s="50"/>
      <c r="T87" s="51"/>
      <c r="U87" s="52"/>
      <c r="V87" s="50"/>
      <c r="W87" s="51"/>
      <c r="X87" s="52"/>
      <c r="Y87" s="50"/>
      <c r="Z87" s="51"/>
      <c r="AA87" s="52"/>
      <c r="AB87" s="50"/>
      <c r="AC87" s="51"/>
      <c r="AD87" s="52"/>
    </row>
    <row r="88" spans="1:30" ht="5.0999999999999996" customHeight="1" thickBot="1" x14ac:dyDescent="0.3">
      <c r="C88" s="56"/>
    </row>
    <row r="89" spans="1:30" x14ac:dyDescent="0.25">
      <c r="A89" s="16" t="str">
        <f>Info!$B$15</f>
        <v>Qwen3 Coder 30B</v>
      </c>
      <c r="B89" s="32">
        <v>4</v>
      </c>
      <c r="C89" s="55">
        <f t="shared" si="2"/>
        <v>16</v>
      </c>
      <c r="D89" s="20">
        <v>18.37</v>
      </c>
      <c r="F89" s="45"/>
      <c r="G89" s="46"/>
      <c r="H89" s="47"/>
      <c r="I89" s="45"/>
      <c r="J89" s="46"/>
      <c r="K89" s="47"/>
      <c r="L89" s="45"/>
      <c r="M89" s="46"/>
      <c r="N89" s="47"/>
      <c r="O89" s="45"/>
      <c r="P89" s="46"/>
      <c r="Q89" s="47"/>
      <c r="S89" s="45"/>
      <c r="T89" s="46"/>
      <c r="U89" s="47"/>
      <c r="V89" s="45"/>
      <c r="W89" s="46"/>
      <c r="X89" s="47"/>
      <c r="Y89" s="45"/>
      <c r="Z89" s="46"/>
      <c r="AA89" s="47"/>
      <c r="AB89" s="45"/>
      <c r="AC89" s="46"/>
      <c r="AD89" s="47"/>
    </row>
    <row r="90" spans="1:30" x14ac:dyDescent="0.25">
      <c r="A90" s="17" t="str">
        <f>Info!$B$15</f>
        <v>Qwen3 Coder 30B</v>
      </c>
      <c r="B90" s="33">
        <v>8</v>
      </c>
      <c r="C90" s="21">
        <f t="shared" si="2"/>
        <v>16</v>
      </c>
      <c r="D90" s="22">
        <v>18.46</v>
      </c>
      <c r="F90" s="48"/>
      <c r="G90" s="15"/>
      <c r="H90" s="49"/>
      <c r="I90" s="48"/>
      <c r="J90" s="15"/>
      <c r="K90" s="49"/>
      <c r="L90" s="48"/>
      <c r="M90" s="15"/>
      <c r="N90" s="49"/>
      <c r="O90" s="48"/>
      <c r="P90" s="15"/>
      <c r="Q90" s="49"/>
      <c r="S90" s="48"/>
      <c r="T90" s="15"/>
      <c r="U90" s="49"/>
      <c r="V90" s="48"/>
      <c r="W90" s="15"/>
      <c r="X90" s="49"/>
      <c r="Y90" s="48"/>
      <c r="Z90" s="15"/>
      <c r="AA90" s="49"/>
      <c r="AB90" s="48"/>
      <c r="AC90" s="15"/>
      <c r="AD90" s="49"/>
    </row>
    <row r="91" spans="1:30" x14ac:dyDescent="0.25">
      <c r="A91" s="17" t="str">
        <f>Info!$B$15</f>
        <v>Qwen3 Coder 30B</v>
      </c>
      <c r="B91" s="33">
        <v>20</v>
      </c>
      <c r="C91" s="21">
        <f t="shared" si="2"/>
        <v>16</v>
      </c>
      <c r="D91" s="22">
        <v>18.73</v>
      </c>
      <c r="F91" s="48"/>
      <c r="G91" s="15"/>
      <c r="H91" s="49"/>
      <c r="I91" s="48"/>
      <c r="J91" s="15"/>
      <c r="K91" s="49"/>
      <c r="L91" s="48"/>
      <c r="M91" s="15"/>
      <c r="N91" s="49"/>
      <c r="O91" s="48"/>
      <c r="P91" s="15"/>
      <c r="Q91" s="49"/>
      <c r="S91" s="48"/>
      <c r="T91" s="15"/>
      <c r="U91" s="49"/>
      <c r="V91" s="48"/>
      <c r="W91" s="15"/>
      <c r="X91" s="49"/>
      <c r="Y91" s="48"/>
      <c r="Z91" s="15"/>
      <c r="AA91" s="49"/>
      <c r="AB91" s="48"/>
      <c r="AC91" s="15"/>
      <c r="AD91" s="49"/>
    </row>
    <row r="92" spans="1:30" x14ac:dyDescent="0.25">
      <c r="A92" s="17" t="str">
        <f>Info!$B$15</f>
        <v>Qwen3 Coder 30B</v>
      </c>
      <c r="B92" s="33">
        <v>50</v>
      </c>
      <c r="C92" s="21">
        <f t="shared" si="2"/>
        <v>16</v>
      </c>
      <c r="D92" s="22">
        <v>19.420000000000002</v>
      </c>
      <c r="F92" s="48"/>
      <c r="G92" s="15"/>
      <c r="H92" s="49"/>
      <c r="I92" s="48"/>
      <c r="J92" s="15"/>
      <c r="K92" s="49"/>
      <c r="L92" s="48"/>
      <c r="M92" s="15"/>
      <c r="N92" s="49"/>
      <c r="O92" s="48"/>
      <c r="P92" s="15"/>
      <c r="Q92" s="49"/>
      <c r="S92" s="48"/>
      <c r="T92" s="15"/>
      <c r="U92" s="49"/>
      <c r="V92" s="48"/>
      <c r="W92" s="15"/>
      <c r="X92" s="49"/>
      <c r="Y92" s="48"/>
      <c r="Z92" s="15"/>
      <c r="AA92" s="49"/>
      <c r="AB92" s="48"/>
      <c r="AC92" s="15"/>
      <c r="AD92" s="49"/>
    </row>
    <row r="93" spans="1:30" x14ac:dyDescent="0.25">
      <c r="A93" s="17" t="str">
        <f>Info!$B$15</f>
        <v>Qwen3 Coder 30B</v>
      </c>
      <c r="B93" s="33">
        <v>100</v>
      </c>
      <c r="C93" s="21">
        <f t="shared" si="2"/>
        <v>16</v>
      </c>
      <c r="D93" s="22">
        <v>20.55</v>
      </c>
      <c r="F93" s="48"/>
      <c r="G93" s="15"/>
      <c r="H93" s="49"/>
      <c r="I93" s="48"/>
      <c r="J93" s="15"/>
      <c r="K93" s="49"/>
      <c r="L93" s="48"/>
      <c r="M93" s="15"/>
      <c r="N93" s="49"/>
      <c r="O93" s="48"/>
      <c r="P93" s="15"/>
      <c r="Q93" s="49"/>
      <c r="S93" s="48"/>
      <c r="T93" s="15"/>
      <c r="U93" s="49"/>
      <c r="V93" s="48"/>
      <c r="W93" s="15"/>
      <c r="X93" s="49"/>
      <c r="Y93" s="48"/>
      <c r="Z93" s="15"/>
      <c r="AA93" s="49"/>
      <c r="AB93" s="48"/>
      <c r="AC93" s="15"/>
      <c r="AD93" s="49"/>
    </row>
    <row r="94" spans="1:30" ht="15.75" thickBot="1" x14ac:dyDescent="0.3">
      <c r="A94" s="18" t="str">
        <f>Info!$B$15</f>
        <v>Qwen3 Coder 30B</v>
      </c>
      <c r="B94" s="34">
        <v>150</v>
      </c>
      <c r="C94" s="54">
        <f t="shared" si="2"/>
        <v>16</v>
      </c>
      <c r="D94" s="23">
        <v>21.69</v>
      </c>
      <c r="F94" s="50"/>
      <c r="G94" s="51"/>
      <c r="H94" s="52"/>
      <c r="I94" s="50"/>
      <c r="J94" s="51"/>
      <c r="K94" s="52"/>
      <c r="L94" s="50"/>
      <c r="M94" s="51"/>
      <c r="N94" s="52"/>
      <c r="O94" s="50"/>
      <c r="P94" s="51"/>
      <c r="Q94" s="52"/>
      <c r="S94" s="50"/>
      <c r="T94" s="51"/>
      <c r="U94" s="52"/>
      <c r="V94" s="50"/>
      <c r="W94" s="51"/>
      <c r="X94" s="52"/>
      <c r="Y94" s="50"/>
      <c r="Z94" s="51"/>
      <c r="AA94" s="52"/>
      <c r="AB94" s="50"/>
      <c r="AC94" s="51"/>
      <c r="AD94" s="52"/>
    </row>
    <row r="95" spans="1:30" ht="5.0999999999999996" customHeight="1" thickBot="1" x14ac:dyDescent="0.3">
      <c r="C95" s="56"/>
    </row>
    <row r="96" spans="1:30" x14ac:dyDescent="0.25">
      <c r="A96" s="16" t="str">
        <f>Info!$B$16</f>
        <v>Qwen3.5 35B A3B</v>
      </c>
      <c r="B96" s="32">
        <v>4</v>
      </c>
      <c r="C96" s="55">
        <f t="shared" si="2"/>
        <v>16</v>
      </c>
      <c r="D96" s="20">
        <v>21.73</v>
      </c>
      <c r="F96" s="45"/>
      <c r="G96" s="46"/>
      <c r="H96" s="47"/>
      <c r="I96" s="45"/>
      <c r="J96" s="46"/>
      <c r="K96" s="47"/>
      <c r="L96" s="45"/>
      <c r="M96" s="46"/>
      <c r="N96" s="47"/>
      <c r="O96" s="45"/>
      <c r="P96" s="46"/>
      <c r="Q96" s="47"/>
      <c r="S96" s="45"/>
      <c r="T96" s="46"/>
      <c r="U96" s="47"/>
      <c r="V96" s="45"/>
      <c r="W96" s="46"/>
      <c r="X96" s="47"/>
      <c r="Y96" s="45"/>
      <c r="Z96" s="46"/>
      <c r="AA96" s="47"/>
      <c r="AB96" s="45"/>
      <c r="AC96" s="46"/>
      <c r="AD96" s="47"/>
    </row>
    <row r="97" spans="1:30" x14ac:dyDescent="0.25">
      <c r="A97" s="17" t="str">
        <f>Info!$B$16</f>
        <v>Qwen3.5 35B A3B</v>
      </c>
      <c r="B97" s="33">
        <v>8</v>
      </c>
      <c r="C97" s="21">
        <f t="shared" si="2"/>
        <v>16</v>
      </c>
      <c r="D97" s="22">
        <v>21.81</v>
      </c>
      <c r="F97" s="48"/>
      <c r="G97" s="15"/>
      <c r="H97" s="49"/>
      <c r="I97" s="48"/>
      <c r="J97" s="15"/>
      <c r="K97" s="49"/>
      <c r="L97" s="48"/>
      <c r="M97" s="15"/>
      <c r="N97" s="49"/>
      <c r="O97" s="48"/>
      <c r="P97" s="15"/>
      <c r="Q97" s="49"/>
      <c r="S97" s="48"/>
      <c r="T97" s="15"/>
      <c r="U97" s="49"/>
      <c r="V97" s="48"/>
      <c r="W97" s="15"/>
      <c r="X97" s="49"/>
      <c r="Y97" s="48"/>
      <c r="Z97" s="15"/>
      <c r="AA97" s="49"/>
      <c r="AB97" s="48"/>
      <c r="AC97" s="15"/>
      <c r="AD97" s="49"/>
    </row>
    <row r="98" spans="1:30" x14ac:dyDescent="0.25">
      <c r="A98" s="17" t="str">
        <f>Info!$B$16</f>
        <v>Qwen3.5 35B A3B</v>
      </c>
      <c r="B98" s="33">
        <v>20</v>
      </c>
      <c r="C98" s="21">
        <f t="shared" si="2"/>
        <v>16</v>
      </c>
      <c r="D98" s="22">
        <v>22.03</v>
      </c>
      <c r="F98" s="48"/>
      <c r="G98" s="15"/>
      <c r="H98" s="49"/>
      <c r="I98" s="48"/>
      <c r="J98" s="15"/>
      <c r="K98" s="49"/>
      <c r="L98" s="48"/>
      <c r="M98" s="15"/>
      <c r="N98" s="49"/>
      <c r="O98" s="48"/>
      <c r="P98" s="15"/>
      <c r="Q98" s="49"/>
      <c r="S98" s="48"/>
      <c r="T98" s="15"/>
      <c r="U98" s="49"/>
      <c r="V98" s="48"/>
      <c r="W98" s="15"/>
      <c r="X98" s="49"/>
      <c r="Y98" s="48"/>
      <c r="Z98" s="15"/>
      <c r="AA98" s="49"/>
      <c r="AB98" s="48"/>
      <c r="AC98" s="15"/>
      <c r="AD98" s="49"/>
    </row>
    <row r="99" spans="1:30" x14ac:dyDescent="0.25">
      <c r="A99" s="17" t="str">
        <f>Info!$B$16</f>
        <v>Qwen3.5 35B A3B</v>
      </c>
      <c r="B99" s="33">
        <v>50</v>
      </c>
      <c r="C99" s="21">
        <f t="shared" si="2"/>
        <v>16</v>
      </c>
      <c r="D99" s="22">
        <v>22.6</v>
      </c>
      <c r="F99" s="48"/>
      <c r="G99" s="15"/>
      <c r="H99" s="49"/>
      <c r="I99" s="48"/>
      <c r="J99" s="15"/>
      <c r="K99" s="49"/>
      <c r="L99" s="48"/>
      <c r="M99" s="15"/>
      <c r="N99" s="49"/>
      <c r="O99" s="48"/>
      <c r="P99" s="15"/>
      <c r="Q99" s="49"/>
      <c r="S99" s="48"/>
      <c r="T99" s="15"/>
      <c r="U99" s="49"/>
      <c r="V99" s="48"/>
      <c r="W99" s="15"/>
      <c r="X99" s="49"/>
      <c r="Y99" s="48"/>
      <c r="Z99" s="15"/>
      <c r="AA99" s="49"/>
      <c r="AB99" s="48"/>
      <c r="AC99" s="15"/>
      <c r="AD99" s="49"/>
    </row>
    <row r="100" spans="1:30" x14ac:dyDescent="0.25">
      <c r="A100" s="17" t="str">
        <f>Info!$B$16</f>
        <v>Qwen3.5 35B A3B</v>
      </c>
      <c r="B100" s="33">
        <v>100</v>
      </c>
      <c r="C100" s="21">
        <f t="shared" si="2"/>
        <v>16</v>
      </c>
      <c r="D100" s="22">
        <v>23.55</v>
      </c>
      <c r="F100" s="48"/>
      <c r="G100" s="15"/>
      <c r="H100" s="49"/>
      <c r="I100" s="48"/>
      <c r="J100" s="15"/>
      <c r="K100" s="49"/>
      <c r="L100" s="48"/>
      <c r="M100" s="15"/>
      <c r="N100" s="49"/>
      <c r="O100" s="48"/>
      <c r="P100" s="15"/>
      <c r="Q100" s="49"/>
      <c r="S100" s="48"/>
      <c r="T100" s="15"/>
      <c r="U100" s="49"/>
      <c r="V100" s="48"/>
      <c r="W100" s="15"/>
      <c r="X100" s="49"/>
      <c r="Y100" s="48"/>
      <c r="Z100" s="15"/>
      <c r="AA100" s="49"/>
      <c r="AB100" s="48"/>
      <c r="AC100" s="15"/>
      <c r="AD100" s="49"/>
    </row>
    <row r="101" spans="1:30" ht="15.75" thickBot="1" x14ac:dyDescent="0.3">
      <c r="A101" s="18" t="str">
        <f>Info!$B$16</f>
        <v>Qwen3.5 35B A3B</v>
      </c>
      <c r="B101" s="34">
        <v>150</v>
      </c>
      <c r="C101" s="54">
        <f t="shared" si="2"/>
        <v>16</v>
      </c>
      <c r="D101" s="23">
        <v>24.5</v>
      </c>
      <c r="F101" s="50"/>
      <c r="G101" s="51"/>
      <c r="H101" s="52"/>
      <c r="I101" s="50"/>
      <c r="J101" s="51"/>
      <c r="K101" s="52"/>
      <c r="L101" s="50"/>
      <c r="M101" s="51"/>
      <c r="N101" s="52"/>
      <c r="O101" s="50"/>
      <c r="P101" s="51"/>
      <c r="Q101" s="52"/>
      <c r="S101" s="50"/>
      <c r="T101" s="51"/>
      <c r="U101" s="52"/>
      <c r="V101" s="50"/>
      <c r="W101" s="51"/>
      <c r="X101" s="52"/>
      <c r="Y101" s="50"/>
      <c r="Z101" s="51"/>
      <c r="AA101" s="52"/>
      <c r="AB101" s="50"/>
      <c r="AC101" s="51"/>
      <c r="AD101" s="52"/>
    </row>
    <row r="102" spans="1:30" ht="5.0999999999999996" customHeight="1" thickBot="1" x14ac:dyDescent="0.3">
      <c r="C102" s="56"/>
    </row>
    <row r="103" spans="1:30" x14ac:dyDescent="0.25">
      <c r="A103" s="16" t="str">
        <f>Info!$B$17</f>
        <v>Llama 2 70B Chat</v>
      </c>
      <c r="B103" s="32">
        <v>4</v>
      </c>
      <c r="C103" s="55">
        <f t="shared" si="2"/>
        <v>16</v>
      </c>
      <c r="D103" s="20">
        <v>41.26</v>
      </c>
      <c r="F103" s="45"/>
      <c r="G103" s="46"/>
      <c r="H103" s="47"/>
      <c r="I103" s="45"/>
      <c r="J103" s="46"/>
      <c r="K103" s="47"/>
      <c r="L103" s="45"/>
      <c r="M103" s="46"/>
      <c r="N103" s="47"/>
      <c r="O103" s="45"/>
      <c r="P103" s="46"/>
      <c r="Q103" s="47"/>
      <c r="S103" s="45"/>
      <c r="T103" s="46"/>
      <c r="U103" s="47"/>
      <c r="V103" s="45"/>
      <c r="W103" s="46"/>
      <c r="X103" s="47"/>
      <c r="Y103" s="45"/>
      <c r="Z103" s="46"/>
      <c r="AA103" s="47"/>
      <c r="AB103" s="45"/>
      <c r="AC103" s="46"/>
      <c r="AD103" s="47"/>
    </row>
    <row r="104" spans="1:30" x14ac:dyDescent="0.25">
      <c r="A104" s="17" t="str">
        <f>Info!$B$17</f>
        <v>Llama 2 70B Chat</v>
      </c>
      <c r="B104" s="33">
        <v>8</v>
      </c>
      <c r="C104" s="21" t="s">
        <v>75</v>
      </c>
      <c r="D104" s="22" t="s">
        <v>75</v>
      </c>
      <c r="F104" s="48"/>
      <c r="G104" s="15"/>
      <c r="H104" s="49"/>
      <c r="I104" s="48"/>
      <c r="J104" s="15"/>
      <c r="K104" s="49"/>
      <c r="L104" s="48"/>
      <c r="M104" s="15"/>
      <c r="N104" s="49"/>
      <c r="O104" s="48"/>
      <c r="P104" s="15"/>
      <c r="Q104" s="49"/>
      <c r="S104" s="48"/>
      <c r="T104" s="15"/>
      <c r="U104" s="49"/>
      <c r="V104" s="48"/>
      <c r="W104" s="15"/>
      <c r="X104" s="49"/>
      <c r="Y104" s="48"/>
      <c r="Z104" s="15"/>
      <c r="AA104" s="49"/>
      <c r="AB104" s="48"/>
      <c r="AC104" s="15"/>
      <c r="AD104" s="49"/>
    </row>
    <row r="105" spans="1:30" x14ac:dyDescent="0.25">
      <c r="A105" s="17" t="str">
        <f>Info!$B$17</f>
        <v>Llama 2 70B Chat</v>
      </c>
      <c r="B105" s="33">
        <v>20</v>
      </c>
      <c r="C105" s="21" t="s">
        <v>75</v>
      </c>
      <c r="D105" s="22" t="s">
        <v>75</v>
      </c>
      <c r="F105" s="48"/>
      <c r="G105" s="15"/>
      <c r="H105" s="49"/>
      <c r="I105" s="48"/>
      <c r="J105" s="15"/>
      <c r="K105" s="49"/>
      <c r="L105" s="48"/>
      <c r="M105" s="15"/>
      <c r="N105" s="49"/>
      <c r="O105" s="48"/>
      <c r="P105" s="15"/>
      <c r="Q105" s="49"/>
      <c r="S105" s="48"/>
      <c r="T105" s="15"/>
      <c r="U105" s="49"/>
      <c r="V105" s="48"/>
      <c r="W105" s="15"/>
      <c r="X105" s="49"/>
      <c r="Y105" s="48"/>
      <c r="Z105" s="15"/>
      <c r="AA105" s="49"/>
      <c r="AB105" s="48"/>
      <c r="AC105" s="15"/>
      <c r="AD105" s="49"/>
    </row>
    <row r="106" spans="1:30" x14ac:dyDescent="0.25">
      <c r="A106" s="17" t="str">
        <f>Info!$B$17</f>
        <v>Llama 2 70B Chat</v>
      </c>
      <c r="B106" s="33">
        <v>50</v>
      </c>
      <c r="C106" s="21" t="s">
        <v>75</v>
      </c>
      <c r="D106" s="22" t="s">
        <v>75</v>
      </c>
      <c r="F106" s="48"/>
      <c r="G106" s="15"/>
      <c r="H106" s="49"/>
      <c r="I106" s="48"/>
      <c r="J106" s="15"/>
      <c r="K106" s="49"/>
      <c r="L106" s="48"/>
      <c r="M106" s="15"/>
      <c r="N106" s="49"/>
      <c r="O106" s="48"/>
      <c r="P106" s="15"/>
      <c r="Q106" s="49"/>
      <c r="S106" s="48"/>
      <c r="T106" s="15"/>
      <c r="U106" s="49"/>
      <c r="V106" s="48"/>
      <c r="W106" s="15"/>
      <c r="X106" s="49"/>
      <c r="Y106" s="48"/>
      <c r="Z106" s="15"/>
      <c r="AA106" s="49"/>
      <c r="AB106" s="48"/>
      <c r="AC106" s="15"/>
      <c r="AD106" s="49"/>
    </row>
    <row r="107" spans="1:30" x14ac:dyDescent="0.25">
      <c r="A107" s="17" t="str">
        <f>Info!$B$17</f>
        <v>Llama 2 70B Chat</v>
      </c>
      <c r="B107" s="33">
        <v>100</v>
      </c>
      <c r="C107" s="21" t="s">
        <v>75</v>
      </c>
      <c r="D107" s="22" t="s">
        <v>75</v>
      </c>
      <c r="F107" s="48"/>
      <c r="G107" s="15"/>
      <c r="H107" s="49"/>
      <c r="I107" s="48"/>
      <c r="J107" s="15"/>
      <c r="K107" s="49"/>
      <c r="L107" s="48"/>
      <c r="M107" s="15"/>
      <c r="N107" s="49"/>
      <c r="O107" s="48"/>
      <c r="P107" s="15"/>
      <c r="Q107" s="49"/>
      <c r="S107" s="48"/>
      <c r="T107" s="15"/>
      <c r="U107" s="49"/>
      <c r="V107" s="48"/>
      <c r="W107" s="15"/>
      <c r="X107" s="49"/>
      <c r="Y107" s="48"/>
      <c r="Z107" s="15"/>
      <c r="AA107" s="49"/>
      <c r="AB107" s="48"/>
      <c r="AC107" s="15"/>
      <c r="AD107" s="49"/>
    </row>
    <row r="108" spans="1:30" ht="15.75" thickBot="1" x14ac:dyDescent="0.3">
      <c r="A108" s="18" t="str">
        <f>Info!$B$17</f>
        <v>Llama 2 70B Chat</v>
      </c>
      <c r="B108" s="34">
        <v>150</v>
      </c>
      <c r="C108" s="54" t="s">
        <v>75</v>
      </c>
      <c r="D108" s="23" t="s">
        <v>75</v>
      </c>
      <c r="F108" s="50"/>
      <c r="G108" s="51"/>
      <c r="H108" s="52"/>
      <c r="I108" s="50"/>
      <c r="J108" s="51"/>
      <c r="K108" s="52"/>
      <c r="L108" s="50"/>
      <c r="M108" s="51"/>
      <c r="N108" s="52"/>
      <c r="O108" s="50"/>
      <c r="P108" s="51"/>
      <c r="Q108" s="52"/>
      <c r="S108" s="50"/>
      <c r="T108" s="51"/>
      <c r="U108" s="52"/>
      <c r="V108" s="50"/>
      <c r="W108" s="51"/>
      <c r="X108" s="52"/>
      <c r="Y108" s="50"/>
      <c r="Z108" s="51"/>
      <c r="AA108" s="52"/>
      <c r="AB108" s="50"/>
      <c r="AC108" s="51"/>
      <c r="AD108" s="52"/>
    </row>
    <row r="109" spans="1:30" ht="5.0999999999999996" customHeight="1" thickBot="1" x14ac:dyDescent="0.3">
      <c r="C109" s="56"/>
    </row>
    <row r="110" spans="1:30" x14ac:dyDescent="0.25">
      <c r="A110" s="16" t="str">
        <f>Info!$B$18</f>
        <v>Qwen3 Coder Next</v>
      </c>
      <c r="B110" s="32">
        <v>4</v>
      </c>
      <c r="C110" s="55">
        <f t="shared" si="2"/>
        <v>16</v>
      </c>
      <c r="D110" s="20">
        <v>47.66</v>
      </c>
      <c r="F110" s="45"/>
      <c r="G110" s="46"/>
      <c r="H110" s="47"/>
      <c r="I110" s="45"/>
      <c r="J110" s="46"/>
      <c r="K110" s="47"/>
      <c r="L110" s="45"/>
      <c r="M110" s="46"/>
      <c r="N110" s="47"/>
      <c r="O110" s="45"/>
      <c r="P110" s="46"/>
      <c r="Q110" s="47"/>
      <c r="S110" s="45"/>
      <c r="T110" s="46"/>
      <c r="U110" s="47"/>
      <c r="V110" s="45"/>
      <c r="W110" s="46"/>
      <c r="X110" s="47"/>
      <c r="Y110" s="45"/>
      <c r="Z110" s="46"/>
      <c r="AA110" s="47"/>
      <c r="AB110" s="45"/>
      <c r="AC110" s="46"/>
      <c r="AD110" s="47"/>
    </row>
    <row r="111" spans="1:30" x14ac:dyDescent="0.25">
      <c r="A111" s="17" t="str">
        <f>Info!$B$18</f>
        <v>Qwen3 Coder Next</v>
      </c>
      <c r="B111" s="33">
        <v>8</v>
      </c>
      <c r="C111" s="21">
        <f t="shared" si="2"/>
        <v>16</v>
      </c>
      <c r="D111" s="22">
        <v>47.75</v>
      </c>
      <c r="F111" s="48"/>
      <c r="G111" s="15"/>
      <c r="H111" s="49"/>
      <c r="I111" s="48"/>
      <c r="J111" s="15"/>
      <c r="K111" s="49"/>
      <c r="L111" s="48"/>
      <c r="M111" s="15"/>
      <c r="N111" s="49"/>
      <c r="O111" s="48"/>
      <c r="P111" s="15"/>
      <c r="Q111" s="49"/>
      <c r="S111" s="48"/>
      <c r="T111" s="15"/>
      <c r="U111" s="49"/>
      <c r="V111" s="48"/>
      <c r="W111" s="15"/>
      <c r="X111" s="49"/>
      <c r="Y111" s="48"/>
      <c r="Z111" s="15"/>
      <c r="AA111" s="49"/>
      <c r="AB111" s="48"/>
      <c r="AC111" s="15"/>
      <c r="AD111" s="49"/>
    </row>
    <row r="112" spans="1:30" x14ac:dyDescent="0.25">
      <c r="A112" s="17" t="str">
        <f>Info!$B$18</f>
        <v>Qwen3 Coder Next</v>
      </c>
      <c r="B112" s="33">
        <v>20</v>
      </c>
      <c r="C112" s="21">
        <f t="shared" si="2"/>
        <v>16</v>
      </c>
      <c r="D112" s="22">
        <v>48.02</v>
      </c>
      <c r="F112" s="48"/>
      <c r="G112" s="15"/>
      <c r="H112" s="49"/>
      <c r="I112" s="48"/>
      <c r="J112" s="15"/>
      <c r="K112" s="49"/>
      <c r="L112" s="48"/>
      <c r="M112" s="15"/>
      <c r="N112" s="49"/>
      <c r="O112" s="48"/>
      <c r="P112" s="15"/>
      <c r="Q112" s="49"/>
      <c r="S112" s="48"/>
      <c r="T112" s="15"/>
      <c r="U112" s="49"/>
      <c r="V112" s="48"/>
      <c r="W112" s="15"/>
      <c r="X112" s="49"/>
      <c r="Y112" s="48"/>
      <c r="Z112" s="15"/>
      <c r="AA112" s="49"/>
      <c r="AB112" s="48"/>
      <c r="AC112" s="15"/>
      <c r="AD112" s="49"/>
    </row>
    <row r="113" spans="1:30" x14ac:dyDescent="0.25">
      <c r="A113" s="17" t="str">
        <f>Info!$B$18</f>
        <v>Qwen3 Coder Next</v>
      </c>
      <c r="B113" s="33">
        <v>50</v>
      </c>
      <c r="C113" s="21">
        <f t="shared" si="2"/>
        <v>16</v>
      </c>
      <c r="D113" s="22">
        <v>48.71</v>
      </c>
      <c r="F113" s="48"/>
      <c r="G113" s="15"/>
      <c r="H113" s="49"/>
      <c r="I113" s="48"/>
      <c r="J113" s="15"/>
      <c r="K113" s="49"/>
      <c r="L113" s="48"/>
      <c r="M113" s="15"/>
      <c r="N113" s="49"/>
      <c r="O113" s="48"/>
      <c r="P113" s="15"/>
      <c r="Q113" s="49"/>
      <c r="S113" s="48"/>
      <c r="T113" s="15"/>
      <c r="U113" s="49"/>
      <c r="V113" s="48"/>
      <c r="W113" s="15"/>
      <c r="X113" s="49"/>
      <c r="Y113" s="48"/>
      <c r="Z113" s="15"/>
      <c r="AA113" s="49"/>
      <c r="AB113" s="48"/>
      <c r="AC113" s="15"/>
      <c r="AD113" s="49"/>
    </row>
    <row r="114" spans="1:30" x14ac:dyDescent="0.25">
      <c r="A114" s="17" t="str">
        <f>Info!$B$18</f>
        <v>Qwen3 Coder Next</v>
      </c>
      <c r="B114" s="33">
        <v>100</v>
      </c>
      <c r="C114" s="21">
        <f t="shared" si="2"/>
        <v>16</v>
      </c>
      <c r="D114" s="22">
        <v>49.84</v>
      </c>
      <c r="F114" s="48"/>
      <c r="G114" s="15"/>
      <c r="H114" s="49"/>
      <c r="I114" s="48"/>
      <c r="J114" s="15"/>
      <c r="K114" s="49"/>
      <c r="L114" s="48"/>
      <c r="M114" s="15"/>
      <c r="N114" s="49"/>
      <c r="O114" s="48"/>
      <c r="P114" s="15"/>
      <c r="Q114" s="49"/>
      <c r="S114" s="48"/>
      <c r="T114" s="15"/>
      <c r="U114" s="49"/>
      <c r="V114" s="48"/>
      <c r="W114" s="15"/>
      <c r="X114" s="49"/>
      <c r="Y114" s="48"/>
      <c r="Z114" s="15"/>
      <c r="AA114" s="49"/>
      <c r="AB114" s="48"/>
      <c r="AC114" s="15"/>
      <c r="AD114" s="49"/>
    </row>
    <row r="115" spans="1:30" ht="15.75" thickBot="1" x14ac:dyDescent="0.3">
      <c r="A115" s="18" t="str">
        <f>Info!$B$18</f>
        <v>Qwen3 Coder Next</v>
      </c>
      <c r="B115" s="34">
        <v>150</v>
      </c>
      <c r="C115" s="54">
        <f t="shared" si="2"/>
        <v>16</v>
      </c>
      <c r="D115" s="23">
        <v>50.98</v>
      </c>
      <c r="F115" s="50"/>
      <c r="G115" s="51"/>
      <c r="H115" s="52"/>
      <c r="I115" s="50"/>
      <c r="J115" s="51"/>
      <c r="K115" s="52"/>
      <c r="L115" s="50"/>
      <c r="M115" s="51"/>
      <c r="N115" s="52"/>
      <c r="O115" s="50"/>
      <c r="P115" s="51"/>
      <c r="Q115" s="52"/>
      <c r="S115" s="50"/>
      <c r="T115" s="51"/>
      <c r="U115" s="52"/>
      <c r="V115" s="50"/>
      <c r="W115" s="51"/>
      <c r="X115" s="52"/>
      <c r="Y115" s="50"/>
      <c r="Z115" s="51"/>
      <c r="AA115" s="52"/>
      <c r="AB115" s="50"/>
      <c r="AC115" s="51"/>
      <c r="AD115" s="52"/>
    </row>
    <row r="116" spans="1:30" ht="5.0999999999999996" customHeight="1" thickBot="1" x14ac:dyDescent="0.3">
      <c r="C116" s="56"/>
    </row>
    <row r="117" spans="1:30" x14ac:dyDescent="0.25">
      <c r="A117" s="16" t="str">
        <f>Info!$B$19</f>
        <v>GPT-OSS 120B</v>
      </c>
      <c r="B117" s="32">
        <v>4</v>
      </c>
      <c r="C117" s="55">
        <f t="shared" si="2"/>
        <v>16</v>
      </c>
      <c r="D117" s="20">
        <v>62.29</v>
      </c>
      <c r="F117" s="45"/>
      <c r="G117" s="46"/>
      <c r="H117" s="47"/>
      <c r="I117" s="45"/>
      <c r="J117" s="46"/>
      <c r="K117" s="47"/>
      <c r="L117" s="45"/>
      <c r="M117" s="46"/>
      <c r="N117" s="47"/>
      <c r="O117" s="45"/>
      <c r="P117" s="46"/>
      <c r="Q117" s="47"/>
      <c r="S117" s="45"/>
      <c r="T117" s="46"/>
      <c r="U117" s="47"/>
      <c r="V117" s="45"/>
      <c r="W117" s="46"/>
      <c r="X117" s="47"/>
      <c r="Y117" s="45"/>
      <c r="Z117" s="46"/>
      <c r="AA117" s="47"/>
      <c r="AB117" s="45"/>
      <c r="AC117" s="46"/>
      <c r="AD117" s="47"/>
    </row>
    <row r="118" spans="1:30" x14ac:dyDescent="0.25">
      <c r="A118" s="17" t="str">
        <f>Info!$B$19</f>
        <v>GPT-OSS 120B</v>
      </c>
      <c r="B118" s="33">
        <v>8</v>
      </c>
      <c r="C118" s="21">
        <f t="shared" si="2"/>
        <v>16</v>
      </c>
      <c r="D118" s="22">
        <v>62.38</v>
      </c>
      <c r="F118" s="48"/>
      <c r="G118" s="15"/>
      <c r="H118" s="49"/>
      <c r="I118" s="48"/>
      <c r="J118" s="15"/>
      <c r="K118" s="49"/>
      <c r="L118" s="48"/>
      <c r="M118" s="15"/>
      <c r="N118" s="49"/>
      <c r="O118" s="48"/>
      <c r="P118" s="15"/>
      <c r="Q118" s="49"/>
      <c r="S118" s="48"/>
      <c r="T118" s="15"/>
      <c r="U118" s="49"/>
      <c r="V118" s="48"/>
      <c r="W118" s="15"/>
      <c r="X118" s="49"/>
      <c r="Y118" s="48"/>
      <c r="Z118" s="15"/>
      <c r="AA118" s="49"/>
      <c r="AB118" s="48"/>
      <c r="AC118" s="15"/>
      <c r="AD118" s="49"/>
    </row>
    <row r="119" spans="1:30" x14ac:dyDescent="0.25">
      <c r="A119" s="17" t="str">
        <f>Info!$B$19</f>
        <v>GPT-OSS 120B</v>
      </c>
      <c r="B119" s="33">
        <v>20</v>
      </c>
      <c r="C119" s="21">
        <f t="shared" si="2"/>
        <v>16</v>
      </c>
      <c r="D119" s="22">
        <v>62.67</v>
      </c>
      <c r="F119" s="48"/>
      <c r="G119" s="15"/>
      <c r="H119" s="49"/>
      <c r="I119" s="48"/>
      <c r="J119" s="15"/>
      <c r="K119" s="49"/>
      <c r="L119" s="48"/>
      <c r="M119" s="15"/>
      <c r="N119" s="49"/>
      <c r="O119" s="48"/>
      <c r="P119" s="15"/>
      <c r="Q119" s="49"/>
      <c r="S119" s="48"/>
      <c r="T119" s="15"/>
      <c r="U119" s="49"/>
      <c r="V119" s="48"/>
      <c r="W119" s="15"/>
      <c r="X119" s="49"/>
      <c r="Y119" s="48"/>
      <c r="Z119" s="15"/>
      <c r="AA119" s="49"/>
      <c r="AB119" s="48"/>
      <c r="AC119" s="15"/>
      <c r="AD119" s="49"/>
    </row>
    <row r="120" spans="1:30" x14ac:dyDescent="0.25">
      <c r="A120" s="17" t="str">
        <f>Info!$B$19</f>
        <v>GPT-OSS 120B</v>
      </c>
      <c r="B120" s="33">
        <v>50</v>
      </c>
      <c r="C120" s="21">
        <f t="shared" si="2"/>
        <v>16</v>
      </c>
      <c r="D120" s="22">
        <v>63.39</v>
      </c>
      <c r="F120" s="48"/>
      <c r="G120" s="15"/>
      <c r="H120" s="49"/>
      <c r="I120" s="48"/>
      <c r="J120" s="15"/>
      <c r="K120" s="49"/>
      <c r="L120" s="48"/>
      <c r="M120" s="15"/>
      <c r="N120" s="49"/>
      <c r="O120" s="48"/>
      <c r="P120" s="15"/>
      <c r="Q120" s="49"/>
      <c r="S120" s="48"/>
      <c r="T120" s="15"/>
      <c r="U120" s="49"/>
      <c r="V120" s="48"/>
      <c r="W120" s="15"/>
      <c r="X120" s="49"/>
      <c r="Y120" s="48"/>
      <c r="Z120" s="15"/>
      <c r="AA120" s="49"/>
      <c r="AB120" s="48"/>
      <c r="AC120" s="15"/>
      <c r="AD120" s="49"/>
    </row>
    <row r="121" spans="1:30" x14ac:dyDescent="0.25">
      <c r="A121" s="17" t="str">
        <f>Info!$B$19</f>
        <v>GPT-OSS 120B</v>
      </c>
      <c r="B121" s="33">
        <v>100</v>
      </c>
      <c r="C121" s="21">
        <f t="shared" si="2"/>
        <v>16</v>
      </c>
      <c r="D121" s="22">
        <v>64.58</v>
      </c>
      <c r="F121" s="48"/>
      <c r="G121" s="15"/>
      <c r="H121" s="49"/>
      <c r="I121" s="48"/>
      <c r="J121" s="15"/>
      <c r="K121" s="49"/>
      <c r="L121" s="48"/>
      <c r="M121" s="15"/>
      <c r="N121" s="49"/>
      <c r="O121" s="48"/>
      <c r="P121" s="15"/>
      <c r="Q121" s="49"/>
      <c r="S121" s="48"/>
      <c r="T121" s="15"/>
      <c r="U121" s="49"/>
      <c r="V121" s="48"/>
      <c r="W121" s="15"/>
      <c r="X121" s="49"/>
      <c r="Y121" s="48"/>
      <c r="Z121" s="15"/>
      <c r="AA121" s="49"/>
      <c r="AB121" s="48"/>
      <c r="AC121" s="15"/>
      <c r="AD121" s="49"/>
    </row>
    <row r="122" spans="1:30" ht="15.75" thickBot="1" x14ac:dyDescent="0.3">
      <c r="A122" s="18" t="str">
        <f>Info!$B$19</f>
        <v>GPT-OSS 120B</v>
      </c>
      <c r="B122" s="34">
        <v>150</v>
      </c>
      <c r="C122" s="21" t="s">
        <v>75</v>
      </c>
      <c r="D122" s="23" t="s">
        <v>75</v>
      </c>
      <c r="F122" s="50"/>
      <c r="G122" s="51"/>
      <c r="H122" s="52"/>
      <c r="I122" s="50"/>
      <c r="J122" s="51"/>
      <c r="K122" s="52"/>
      <c r="L122" s="50"/>
      <c r="M122" s="51"/>
      <c r="N122" s="52"/>
      <c r="O122" s="50"/>
      <c r="P122" s="51"/>
      <c r="Q122" s="52"/>
      <c r="S122" s="50"/>
      <c r="T122" s="51"/>
      <c r="U122" s="52"/>
      <c r="V122" s="50"/>
      <c r="W122" s="51"/>
      <c r="X122" s="52"/>
      <c r="Y122" s="50"/>
      <c r="Z122" s="51"/>
      <c r="AA122" s="52"/>
      <c r="AB122" s="50"/>
      <c r="AC122" s="51"/>
      <c r="AD122" s="52"/>
    </row>
  </sheetData>
  <mergeCells count="11">
    <mergeCell ref="AB2:AD2"/>
    <mergeCell ref="C1:D1"/>
    <mergeCell ref="F1:Q1"/>
    <mergeCell ref="S1:AD1"/>
    <mergeCell ref="F2:H2"/>
    <mergeCell ref="I2:K2"/>
    <mergeCell ref="L2:N2"/>
    <mergeCell ref="O2:Q2"/>
    <mergeCell ref="S2:U2"/>
    <mergeCell ref="V2:X2"/>
    <mergeCell ref="Y2:AA2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8608-8E7B-49EB-81D5-175050BDEE54}">
  <dimension ref="A1:AD122"/>
  <sheetViews>
    <sheetView topLeftCell="C1" zoomScale="190" zoomScaleNormal="190" workbookViewId="0">
      <selection activeCell="M7" sqref="M7"/>
    </sheetView>
  </sheetViews>
  <sheetFormatPr defaultRowHeight="15" x14ac:dyDescent="0.25"/>
  <cols>
    <col min="1" max="1" width="23.85546875" bestFit="1" customWidth="1"/>
    <col min="2" max="2" width="9.42578125" customWidth="1"/>
    <col min="3" max="3" width="10" customWidth="1"/>
    <col min="4" max="4" width="9.42578125" customWidth="1"/>
    <col min="5" max="5" width="0.7109375" customWidth="1"/>
    <col min="6" max="6" width="8.85546875" bestFit="1" customWidth="1"/>
    <col min="7" max="7" width="4" bestFit="1" customWidth="1"/>
    <col min="8" max="8" width="10.140625" bestFit="1" customWidth="1"/>
    <col min="9" max="9" width="8.85546875" bestFit="1" customWidth="1"/>
    <col min="10" max="10" width="4" bestFit="1" customWidth="1"/>
    <col min="11" max="11" width="10.140625" bestFit="1" customWidth="1"/>
    <col min="12" max="12" width="8.85546875" bestFit="1" customWidth="1"/>
    <col min="13" max="13" width="4" bestFit="1" customWidth="1"/>
    <col min="14" max="14" width="10.140625" bestFit="1" customWidth="1"/>
    <col min="15" max="15" width="8.85546875" bestFit="1" customWidth="1"/>
    <col min="16" max="16" width="4" bestFit="1" customWidth="1"/>
    <col min="17" max="17" width="10.140625" bestFit="1" customWidth="1"/>
    <col min="18" max="18" width="0.7109375" customWidth="1"/>
    <col min="19" max="19" width="7.5703125" bestFit="1" customWidth="1"/>
    <col min="20" max="20" width="15" bestFit="1" customWidth="1"/>
    <col min="21" max="21" width="10.140625" bestFit="1" customWidth="1"/>
    <col min="22" max="22" width="7.5703125" bestFit="1" customWidth="1"/>
    <col min="23" max="23" width="15" bestFit="1" customWidth="1"/>
    <col min="24" max="24" width="10.140625" bestFit="1" customWidth="1"/>
    <col min="25" max="25" width="7.5703125" bestFit="1" customWidth="1"/>
    <col min="26" max="26" width="15" bestFit="1" customWidth="1"/>
    <col min="27" max="27" width="10.140625" bestFit="1" customWidth="1"/>
    <col min="28" max="28" width="7.5703125" bestFit="1" customWidth="1"/>
    <col min="29" max="29" width="15" bestFit="1" customWidth="1"/>
    <col min="30" max="30" width="10.140625" bestFit="1" customWidth="1"/>
  </cols>
  <sheetData>
    <row r="1" spans="1:30" ht="16.5" thickTop="1" thickBot="1" x14ac:dyDescent="0.3">
      <c r="A1" s="53"/>
      <c r="B1" s="53"/>
      <c r="C1" s="25" t="s">
        <v>76</v>
      </c>
      <c r="D1" s="25"/>
      <c r="E1" s="53"/>
      <c r="F1" s="39" t="s">
        <v>68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1"/>
      <c r="R1" s="24"/>
      <c r="S1" s="39" t="s">
        <v>81</v>
      </c>
      <c r="T1" s="40"/>
      <c r="U1" s="40"/>
      <c r="V1" s="40"/>
      <c r="W1" s="40"/>
      <c r="X1" s="40"/>
      <c r="Y1" s="40"/>
      <c r="Z1" s="40"/>
      <c r="AA1" s="40"/>
      <c r="AB1" s="40"/>
      <c r="AC1" s="40"/>
      <c r="AD1" s="41"/>
    </row>
    <row r="2" spans="1:30" ht="15.75" thickBot="1" x14ac:dyDescent="0.3">
      <c r="A2" s="53"/>
      <c r="B2" s="53"/>
      <c r="C2" s="53" t="s">
        <v>77</v>
      </c>
      <c r="D2" s="53" t="s">
        <v>78</v>
      </c>
      <c r="E2" s="53"/>
      <c r="F2" s="42">
        <v>1</v>
      </c>
      <c r="G2" s="43"/>
      <c r="H2" s="43"/>
      <c r="I2" s="43">
        <v>2</v>
      </c>
      <c r="J2" s="43"/>
      <c r="K2" s="43"/>
      <c r="L2" s="43">
        <v>3</v>
      </c>
      <c r="M2" s="43"/>
      <c r="N2" s="43"/>
      <c r="O2" s="43">
        <v>4</v>
      </c>
      <c r="P2" s="43"/>
      <c r="Q2" s="44"/>
      <c r="R2" s="24"/>
      <c r="S2" s="42">
        <v>1</v>
      </c>
      <c r="T2" s="43"/>
      <c r="U2" s="43"/>
      <c r="V2" s="43">
        <v>2</v>
      </c>
      <c r="W2" s="43"/>
      <c r="X2" s="43"/>
      <c r="Y2" s="43">
        <v>3</v>
      </c>
      <c r="Z2" s="43"/>
      <c r="AA2" s="43"/>
      <c r="AB2" s="43">
        <v>4</v>
      </c>
      <c r="AC2" s="43"/>
      <c r="AD2" s="44"/>
    </row>
    <row r="3" spans="1:30" ht="16.5" thickTop="1" thickBot="1" x14ac:dyDescent="0.3">
      <c r="A3" s="26" t="s">
        <v>70</v>
      </c>
      <c r="B3" s="27" t="s">
        <v>69</v>
      </c>
      <c r="C3" s="27" t="s">
        <v>54</v>
      </c>
      <c r="D3" s="28" t="s">
        <v>79</v>
      </c>
      <c r="E3" s="29"/>
      <c r="F3" s="37" t="s">
        <v>71</v>
      </c>
      <c r="G3" s="38" t="s">
        <v>72</v>
      </c>
      <c r="H3" s="35" t="s">
        <v>73</v>
      </c>
      <c r="I3" s="37" t="s">
        <v>71</v>
      </c>
      <c r="J3" s="38" t="s">
        <v>72</v>
      </c>
      <c r="K3" s="35" t="s">
        <v>73</v>
      </c>
      <c r="L3" s="37" t="s">
        <v>71</v>
      </c>
      <c r="M3" s="38" t="s">
        <v>72</v>
      </c>
      <c r="N3" s="35" t="s">
        <v>73</v>
      </c>
      <c r="O3" s="37" t="s">
        <v>71</v>
      </c>
      <c r="P3" s="38" t="s">
        <v>72</v>
      </c>
      <c r="Q3" s="36" t="s">
        <v>73</v>
      </c>
      <c r="S3" s="37" t="s">
        <v>82</v>
      </c>
      <c r="T3" s="38" t="s">
        <v>83</v>
      </c>
      <c r="U3" s="35" t="s">
        <v>73</v>
      </c>
      <c r="V3" s="37" t="s">
        <v>82</v>
      </c>
      <c r="W3" s="38" t="s">
        <v>83</v>
      </c>
      <c r="X3" s="35" t="s">
        <v>73</v>
      </c>
      <c r="Y3" s="37" t="s">
        <v>82</v>
      </c>
      <c r="Z3" s="38" t="s">
        <v>83</v>
      </c>
      <c r="AA3" s="35" t="s">
        <v>73</v>
      </c>
      <c r="AB3" s="37" t="s">
        <v>82</v>
      </c>
      <c r="AC3" s="38" t="s">
        <v>83</v>
      </c>
      <c r="AD3" s="36" t="s">
        <v>73</v>
      </c>
    </row>
    <row r="4" spans="1:30" ht="3.75" customHeight="1" thickTop="1" thickBot="1" x14ac:dyDescent="0.3"/>
    <row r="5" spans="1:30" x14ac:dyDescent="0.25">
      <c r="A5" s="16" t="str">
        <f>Info!B3</f>
        <v>Llama 3.2 Instruct</v>
      </c>
      <c r="B5" s="32">
        <v>4</v>
      </c>
      <c r="C5" s="21">
        <f t="shared" ref="C5:C16" si="0">IF(D5 &lt;= 16,D5,16)</f>
        <v>1.36</v>
      </c>
      <c r="D5" s="19">
        <v>1.36</v>
      </c>
      <c r="F5" s="45"/>
      <c r="G5" s="46"/>
      <c r="H5" s="47"/>
      <c r="I5" s="45"/>
      <c r="J5" s="46"/>
      <c r="K5" s="47"/>
      <c r="L5" s="45"/>
      <c r="M5" s="46"/>
      <c r="N5" s="47"/>
      <c r="O5" s="45"/>
      <c r="P5" s="46"/>
      <c r="Q5" s="47"/>
      <c r="S5" s="45"/>
      <c r="T5" s="46"/>
      <c r="U5" s="47"/>
      <c r="V5" s="45"/>
      <c r="W5" s="46"/>
      <c r="X5" s="47"/>
      <c r="Y5" s="45"/>
      <c r="Z5" s="46"/>
      <c r="AA5" s="47"/>
      <c r="AB5" s="45"/>
      <c r="AC5" s="46"/>
      <c r="AD5" s="47"/>
    </row>
    <row r="6" spans="1:30" x14ac:dyDescent="0.25">
      <c r="A6" s="17" t="str">
        <f>Info!$B$3</f>
        <v>Llama 3.2 Instruct</v>
      </c>
      <c r="B6" s="33">
        <v>8</v>
      </c>
      <c r="C6" s="21">
        <f t="shared" si="0"/>
        <v>1.42</v>
      </c>
      <c r="D6" s="21">
        <v>1.42</v>
      </c>
      <c r="F6" s="48"/>
      <c r="G6" s="15"/>
      <c r="H6" s="49"/>
      <c r="I6" s="48"/>
      <c r="J6" s="15"/>
      <c r="K6" s="49"/>
      <c r="L6" s="48"/>
      <c r="M6" s="15"/>
      <c r="N6" s="49"/>
      <c r="O6" s="48"/>
      <c r="P6" s="15"/>
      <c r="Q6" s="49"/>
      <c r="S6" s="48"/>
      <c r="T6" s="15"/>
      <c r="U6" s="49"/>
      <c r="V6" s="48"/>
      <c r="W6" s="15"/>
      <c r="X6" s="49"/>
      <c r="Y6" s="48"/>
      <c r="Z6" s="15"/>
      <c r="AA6" s="49"/>
      <c r="AB6" s="48"/>
      <c r="AC6" s="15"/>
      <c r="AD6" s="49"/>
    </row>
    <row r="7" spans="1:30" x14ac:dyDescent="0.25">
      <c r="A7" s="17" t="str">
        <f>Info!$B$3</f>
        <v>Llama 3.2 Instruct</v>
      </c>
      <c r="B7" s="33">
        <v>20</v>
      </c>
      <c r="C7" s="21">
        <f t="shared" si="0"/>
        <v>1.6</v>
      </c>
      <c r="D7" s="21">
        <v>1.6</v>
      </c>
      <c r="F7" s="48"/>
      <c r="G7" s="15"/>
      <c r="H7" s="49"/>
      <c r="I7" s="48"/>
      <c r="J7" s="15"/>
      <c r="K7" s="49"/>
      <c r="L7" s="48"/>
      <c r="M7" s="15"/>
      <c r="N7" s="49"/>
      <c r="O7" s="48"/>
      <c r="P7" s="15"/>
      <c r="Q7" s="49"/>
      <c r="S7" s="48"/>
      <c r="T7" s="15"/>
      <c r="U7" s="49"/>
      <c r="V7" s="48"/>
      <c r="W7" s="15"/>
      <c r="X7" s="49"/>
      <c r="Y7" s="48"/>
      <c r="Z7" s="15"/>
      <c r="AA7" s="49"/>
      <c r="AB7" s="48"/>
      <c r="AC7" s="15"/>
      <c r="AD7" s="49"/>
    </row>
    <row r="8" spans="1:30" x14ac:dyDescent="0.25">
      <c r="A8" s="17" t="str">
        <f>Info!$B$3</f>
        <v>Llama 3.2 Instruct</v>
      </c>
      <c r="B8" s="33">
        <v>50</v>
      </c>
      <c r="C8" s="21">
        <f t="shared" si="0"/>
        <v>2.06</v>
      </c>
      <c r="D8" s="21">
        <v>2.06</v>
      </c>
      <c r="F8" s="48"/>
      <c r="G8" s="15"/>
      <c r="H8" s="49"/>
      <c r="I8" s="48"/>
      <c r="J8" s="15"/>
      <c r="K8" s="49"/>
      <c r="L8" s="48"/>
      <c r="M8" s="15"/>
      <c r="N8" s="49"/>
      <c r="O8" s="48"/>
      <c r="P8" s="15"/>
      <c r="Q8" s="49"/>
      <c r="S8" s="48"/>
      <c r="T8" s="15"/>
      <c r="U8" s="49"/>
      <c r="V8" s="48"/>
      <c r="W8" s="15"/>
      <c r="X8" s="49"/>
      <c r="Y8" s="48"/>
      <c r="Z8" s="15"/>
      <c r="AA8" s="49"/>
      <c r="AB8" s="48"/>
      <c r="AC8" s="15"/>
      <c r="AD8" s="49"/>
    </row>
    <row r="9" spans="1:30" x14ac:dyDescent="0.25">
      <c r="A9" s="17" t="str">
        <f>Info!$B$3</f>
        <v>Llama 3.2 Instruct</v>
      </c>
      <c r="B9" s="33">
        <v>100</v>
      </c>
      <c r="C9" s="21">
        <f t="shared" si="0"/>
        <v>2.82</v>
      </c>
      <c r="D9" s="21">
        <v>2.82</v>
      </c>
      <c r="F9" s="48"/>
      <c r="G9" s="15"/>
      <c r="H9" s="49"/>
      <c r="I9" s="48"/>
      <c r="J9" s="15"/>
      <c r="K9" s="49"/>
      <c r="L9" s="48"/>
      <c r="M9" s="15"/>
      <c r="N9" s="49"/>
      <c r="O9" s="48"/>
      <c r="P9" s="15"/>
      <c r="Q9" s="49"/>
      <c r="S9" s="48"/>
      <c r="T9" s="15"/>
      <c r="U9" s="49"/>
      <c r="V9" s="48"/>
      <c r="W9" s="15"/>
      <c r="X9" s="49"/>
      <c r="Y9" s="48"/>
      <c r="Z9" s="15"/>
      <c r="AA9" s="49"/>
      <c r="AB9" s="48"/>
      <c r="AC9" s="15"/>
      <c r="AD9" s="49"/>
    </row>
    <row r="10" spans="1:30" ht="15.75" thickBot="1" x14ac:dyDescent="0.3">
      <c r="A10" s="18" t="str">
        <f>Info!$B$3</f>
        <v>Llama 3.2 Instruct</v>
      </c>
      <c r="B10" s="34">
        <v>150</v>
      </c>
      <c r="C10" s="54" t="s">
        <v>75</v>
      </c>
      <c r="D10" s="23" t="s">
        <v>75</v>
      </c>
      <c r="F10" s="50"/>
      <c r="G10" s="51"/>
      <c r="H10" s="52"/>
      <c r="I10" s="50"/>
      <c r="J10" s="51"/>
      <c r="K10" s="52"/>
      <c r="L10" s="50"/>
      <c r="M10" s="51"/>
      <c r="N10" s="52"/>
      <c r="O10" s="50"/>
      <c r="P10" s="51"/>
      <c r="Q10" s="52"/>
      <c r="S10" s="50"/>
      <c r="T10" s="51"/>
      <c r="U10" s="52"/>
      <c r="V10" s="50"/>
      <c r="W10" s="51"/>
      <c r="X10" s="52"/>
      <c r="Y10" s="50"/>
      <c r="Z10" s="51"/>
      <c r="AA10" s="52"/>
      <c r="AB10" s="50"/>
      <c r="AC10" s="51"/>
      <c r="AD10" s="52"/>
    </row>
    <row r="11" spans="1:30" ht="3.75" customHeight="1" thickBot="1" x14ac:dyDescent="0.3">
      <c r="B11" s="30"/>
      <c r="C11" s="56"/>
      <c r="D11" s="31"/>
    </row>
    <row r="12" spans="1:30" x14ac:dyDescent="0.25">
      <c r="A12" s="16" t="str">
        <f>Info!$B$4</f>
        <v>Gemma 3 4B</v>
      </c>
      <c r="B12" s="32">
        <v>4</v>
      </c>
      <c r="C12" s="55">
        <f t="shared" si="0"/>
        <v>3.61</v>
      </c>
      <c r="D12" s="19">
        <v>3.61</v>
      </c>
      <c r="F12" s="45"/>
      <c r="G12" s="46"/>
      <c r="H12" s="47"/>
      <c r="I12" s="45"/>
      <c r="J12" s="46"/>
      <c r="K12" s="47"/>
      <c r="L12" s="45"/>
      <c r="M12" s="46"/>
      <c r="N12" s="47"/>
      <c r="O12" s="45"/>
      <c r="P12" s="46"/>
      <c r="Q12" s="47"/>
      <c r="S12" s="45"/>
      <c r="T12" s="46"/>
      <c r="U12" s="47"/>
      <c r="V12" s="45"/>
      <c r="W12" s="46"/>
      <c r="X12" s="47"/>
      <c r="Y12" s="45"/>
      <c r="Z12" s="46"/>
      <c r="AA12" s="47"/>
      <c r="AB12" s="45"/>
      <c r="AC12" s="46"/>
      <c r="AD12" s="47"/>
    </row>
    <row r="13" spans="1:30" x14ac:dyDescent="0.25">
      <c r="A13" s="17" t="str">
        <f>Info!$B$4</f>
        <v>Gemma 3 4B</v>
      </c>
      <c r="B13" s="33">
        <v>8</v>
      </c>
      <c r="C13" s="21">
        <f t="shared" si="0"/>
        <v>3.92</v>
      </c>
      <c r="D13" s="21">
        <v>3.92</v>
      </c>
      <c r="F13" s="48"/>
      <c r="G13" s="15"/>
      <c r="H13" s="49"/>
      <c r="I13" s="48"/>
      <c r="J13" s="15"/>
      <c r="K13" s="49"/>
      <c r="L13" s="48"/>
      <c r="M13" s="15"/>
      <c r="N13" s="49"/>
      <c r="O13" s="48"/>
      <c r="P13" s="15"/>
      <c r="Q13" s="49"/>
      <c r="S13" s="48"/>
      <c r="T13" s="15"/>
      <c r="U13" s="49"/>
      <c r="V13" s="48"/>
      <c r="W13" s="15"/>
      <c r="X13" s="49"/>
      <c r="Y13" s="48"/>
      <c r="Z13" s="15"/>
      <c r="AA13" s="49"/>
      <c r="AB13" s="48"/>
      <c r="AC13" s="15"/>
      <c r="AD13" s="49"/>
    </row>
    <row r="14" spans="1:30" x14ac:dyDescent="0.25">
      <c r="A14" s="17" t="str">
        <f>Info!$B$4</f>
        <v>Gemma 3 4B</v>
      </c>
      <c r="B14" s="33">
        <v>20</v>
      </c>
      <c r="C14" s="21">
        <f t="shared" si="0"/>
        <v>4.88</v>
      </c>
      <c r="D14" s="21">
        <v>4.88</v>
      </c>
      <c r="F14" s="48"/>
      <c r="G14" s="15"/>
      <c r="H14" s="49"/>
      <c r="I14" s="48"/>
      <c r="J14" s="15"/>
      <c r="K14" s="49"/>
      <c r="L14" s="48"/>
      <c r="M14" s="15"/>
      <c r="N14" s="49"/>
      <c r="O14" s="48"/>
      <c r="P14" s="15"/>
      <c r="Q14" s="49"/>
      <c r="S14" s="48"/>
      <c r="T14" s="15"/>
      <c r="U14" s="49"/>
      <c r="V14" s="48"/>
      <c r="W14" s="15"/>
      <c r="X14" s="49"/>
      <c r="Y14" s="48"/>
      <c r="Z14" s="15"/>
      <c r="AA14" s="49"/>
      <c r="AB14" s="48"/>
      <c r="AC14" s="15"/>
      <c r="AD14" s="49"/>
    </row>
    <row r="15" spans="1:30" x14ac:dyDescent="0.25">
      <c r="A15" s="17" t="str">
        <f>Info!$B$4</f>
        <v>Gemma 3 4B</v>
      </c>
      <c r="B15" s="33">
        <v>50</v>
      </c>
      <c r="C15" s="21">
        <f t="shared" si="0"/>
        <v>7.27</v>
      </c>
      <c r="D15" s="21">
        <v>7.27</v>
      </c>
      <c r="F15" s="48"/>
      <c r="G15" s="15"/>
      <c r="H15" s="49"/>
      <c r="I15" s="48"/>
      <c r="J15" s="15"/>
      <c r="K15" s="49"/>
      <c r="L15" s="48"/>
      <c r="M15" s="15"/>
      <c r="N15" s="49"/>
      <c r="O15" s="48"/>
      <c r="P15" s="15"/>
      <c r="Q15" s="49"/>
      <c r="S15" s="48"/>
      <c r="T15" s="15"/>
      <c r="U15" s="49"/>
      <c r="V15" s="48"/>
      <c r="W15" s="15"/>
      <c r="X15" s="49"/>
      <c r="Y15" s="48"/>
      <c r="Z15" s="15"/>
      <c r="AA15" s="49"/>
      <c r="AB15" s="48"/>
      <c r="AC15" s="15"/>
      <c r="AD15" s="49"/>
    </row>
    <row r="16" spans="1:30" x14ac:dyDescent="0.25">
      <c r="A16" s="17" t="str">
        <f>Info!$B$4</f>
        <v>Gemma 3 4B</v>
      </c>
      <c r="B16" s="33">
        <v>100</v>
      </c>
      <c r="C16" s="21">
        <f t="shared" si="0"/>
        <v>11.27</v>
      </c>
      <c r="D16" s="21">
        <v>11.27</v>
      </c>
      <c r="F16" s="48"/>
      <c r="G16" s="15"/>
      <c r="H16" s="49"/>
      <c r="I16" s="48"/>
      <c r="J16" s="15"/>
      <c r="K16" s="49"/>
      <c r="L16" s="48"/>
      <c r="M16" s="15"/>
      <c r="N16" s="49"/>
      <c r="O16" s="48"/>
      <c r="P16" s="15"/>
      <c r="Q16" s="49"/>
      <c r="S16" s="48"/>
      <c r="T16" s="15"/>
      <c r="U16" s="49"/>
      <c r="V16" s="48"/>
      <c r="W16" s="15"/>
      <c r="X16" s="49"/>
      <c r="Y16" s="48"/>
      <c r="Z16" s="15"/>
      <c r="AA16" s="49"/>
      <c r="AB16" s="48"/>
      <c r="AC16" s="15"/>
      <c r="AD16" s="49"/>
    </row>
    <row r="17" spans="1:30" ht="15.75" thickBot="1" x14ac:dyDescent="0.3">
      <c r="A17" s="18" t="str">
        <f>Info!$B$4</f>
        <v>Gemma 3 4B</v>
      </c>
      <c r="B17" s="34">
        <v>150</v>
      </c>
      <c r="C17" s="54" t="s">
        <v>75</v>
      </c>
      <c r="D17" s="23" t="s">
        <v>75</v>
      </c>
      <c r="F17" s="50"/>
      <c r="G17" s="51"/>
      <c r="H17" s="52"/>
      <c r="I17" s="50"/>
      <c r="J17" s="51"/>
      <c r="K17" s="52"/>
      <c r="L17" s="50"/>
      <c r="M17" s="51"/>
      <c r="N17" s="52"/>
      <c r="O17" s="50"/>
      <c r="P17" s="51"/>
      <c r="Q17" s="52"/>
      <c r="S17" s="50"/>
      <c r="T17" s="51"/>
      <c r="U17" s="52"/>
      <c r="V17" s="50"/>
      <c r="W17" s="51"/>
      <c r="X17" s="52"/>
      <c r="Y17" s="50"/>
      <c r="Z17" s="51"/>
      <c r="AA17" s="52"/>
      <c r="AB17" s="50"/>
      <c r="AC17" s="51"/>
      <c r="AD17" s="52"/>
    </row>
    <row r="18" spans="1:30" ht="3.75" customHeight="1" thickBot="1" x14ac:dyDescent="0.3">
      <c r="B18" s="30"/>
      <c r="C18" s="56"/>
      <c r="D18" s="31"/>
    </row>
    <row r="19" spans="1:30" x14ac:dyDescent="0.25">
      <c r="A19" s="16" t="str">
        <f>Info!$B$5</f>
        <v>Gemma 4 E2B</v>
      </c>
      <c r="B19" s="32">
        <v>4</v>
      </c>
      <c r="C19" s="55">
        <f>IF(D19 &lt;= 16,D19,16)</f>
        <v>4.38</v>
      </c>
      <c r="D19" s="20">
        <v>4.38</v>
      </c>
      <c r="F19" s="45"/>
      <c r="G19" s="46"/>
      <c r="H19" s="47"/>
      <c r="I19" s="45"/>
      <c r="J19" s="46"/>
      <c r="K19" s="47"/>
      <c r="L19" s="45"/>
      <c r="M19" s="46"/>
      <c r="N19" s="47"/>
      <c r="O19" s="45"/>
      <c r="P19" s="46"/>
      <c r="Q19" s="47"/>
      <c r="S19" s="45"/>
      <c r="T19" s="46"/>
      <c r="U19" s="47"/>
      <c r="V19" s="45"/>
      <c r="W19" s="46"/>
      <c r="X19" s="47"/>
      <c r="Y19" s="45"/>
      <c r="Z19" s="46"/>
      <c r="AA19" s="47"/>
      <c r="AB19" s="45"/>
      <c r="AC19" s="46"/>
      <c r="AD19" s="47"/>
    </row>
    <row r="20" spans="1:30" x14ac:dyDescent="0.25">
      <c r="A20" s="17" t="str">
        <f>Info!$B$5</f>
        <v>Gemma 4 E2B</v>
      </c>
      <c r="B20" s="33">
        <v>8</v>
      </c>
      <c r="C20" s="21">
        <f>IF(D20 &lt;= 16,D20,16)</f>
        <v>4.43</v>
      </c>
      <c r="D20" s="22">
        <v>4.43</v>
      </c>
      <c r="F20" s="48"/>
      <c r="G20" s="15"/>
      <c r="H20" s="49"/>
      <c r="I20" s="48"/>
      <c r="J20" s="15"/>
      <c r="K20" s="49"/>
      <c r="L20" s="48"/>
      <c r="M20" s="15"/>
      <c r="N20" s="49"/>
      <c r="O20" s="48"/>
      <c r="P20" s="15"/>
      <c r="Q20" s="49"/>
      <c r="S20" s="48"/>
      <c r="T20" s="15"/>
      <c r="U20" s="49"/>
      <c r="V20" s="48"/>
      <c r="W20" s="15"/>
      <c r="X20" s="49"/>
      <c r="Y20" s="48"/>
      <c r="Z20" s="15"/>
      <c r="AA20" s="49"/>
      <c r="AB20" s="48"/>
      <c r="AC20" s="15"/>
      <c r="AD20" s="49"/>
    </row>
    <row r="21" spans="1:30" x14ac:dyDescent="0.25">
      <c r="A21" s="17" t="str">
        <f>Info!$B$5</f>
        <v>Gemma 4 E2B</v>
      </c>
      <c r="B21" s="33">
        <v>20</v>
      </c>
      <c r="C21" s="21">
        <f t="shared" ref="C21:C84" si="1">IF(D21 &lt;= 16,D21,16)</f>
        <v>4.5599999999999996</v>
      </c>
      <c r="D21" s="22">
        <v>4.5599999999999996</v>
      </c>
      <c r="F21" s="48"/>
      <c r="G21" s="15"/>
      <c r="H21" s="49"/>
      <c r="I21" s="48"/>
      <c r="J21" s="15"/>
      <c r="K21" s="49"/>
      <c r="L21" s="48"/>
      <c r="M21" s="15"/>
      <c r="N21" s="49"/>
      <c r="O21" s="48"/>
      <c r="P21" s="15"/>
      <c r="Q21" s="49"/>
      <c r="S21" s="48"/>
      <c r="T21" s="15"/>
      <c r="U21" s="49"/>
      <c r="V21" s="48"/>
      <c r="W21" s="15"/>
      <c r="X21" s="49"/>
      <c r="Y21" s="48"/>
      <c r="Z21" s="15"/>
      <c r="AA21" s="49"/>
      <c r="AB21" s="48"/>
      <c r="AC21" s="15"/>
      <c r="AD21" s="49"/>
    </row>
    <row r="22" spans="1:30" x14ac:dyDescent="0.25">
      <c r="A22" s="17" t="str">
        <f>Info!$B$5</f>
        <v>Gemma 4 E2B</v>
      </c>
      <c r="B22" s="33">
        <v>50</v>
      </c>
      <c r="C22" s="21">
        <f t="shared" si="1"/>
        <v>4.96</v>
      </c>
      <c r="D22" s="22">
        <v>4.96</v>
      </c>
      <c r="F22" s="48"/>
      <c r="G22" s="15"/>
      <c r="H22" s="49"/>
      <c r="I22" s="48"/>
      <c r="J22" s="15"/>
      <c r="K22" s="49"/>
      <c r="L22" s="48"/>
      <c r="M22" s="15"/>
      <c r="N22" s="49"/>
      <c r="O22" s="48"/>
      <c r="P22" s="15"/>
      <c r="Q22" s="49"/>
      <c r="S22" s="48"/>
      <c r="T22" s="15"/>
      <c r="U22" s="49"/>
      <c r="V22" s="48"/>
      <c r="W22" s="15"/>
      <c r="X22" s="49"/>
      <c r="Y22" s="48"/>
      <c r="Z22" s="15"/>
      <c r="AA22" s="49"/>
      <c r="AB22" s="48"/>
      <c r="AC22" s="15"/>
      <c r="AD22" s="49"/>
    </row>
    <row r="23" spans="1:30" x14ac:dyDescent="0.25">
      <c r="A23" s="17" t="str">
        <f>Info!$B$5</f>
        <v>Gemma 4 E2B</v>
      </c>
      <c r="B23" s="33">
        <v>100</v>
      </c>
      <c r="C23" s="21">
        <f t="shared" si="1"/>
        <v>5.58</v>
      </c>
      <c r="D23" s="22">
        <v>5.58</v>
      </c>
      <c r="F23" s="48"/>
      <c r="G23" s="15"/>
      <c r="H23" s="49"/>
      <c r="I23" s="48"/>
      <c r="J23" s="15"/>
      <c r="K23" s="49"/>
      <c r="L23" s="48"/>
      <c r="M23" s="15"/>
      <c r="N23" s="49"/>
      <c r="O23" s="48"/>
      <c r="P23" s="15"/>
      <c r="Q23" s="49"/>
      <c r="S23" s="48"/>
      <c r="T23" s="15"/>
      <c r="U23" s="49"/>
      <c r="V23" s="48"/>
      <c r="W23" s="15"/>
      <c r="X23" s="49"/>
      <c r="Y23" s="48"/>
      <c r="Z23" s="15"/>
      <c r="AA23" s="49"/>
      <c r="AB23" s="48"/>
      <c r="AC23" s="15"/>
      <c r="AD23" s="49"/>
    </row>
    <row r="24" spans="1:30" ht="15.75" thickBot="1" x14ac:dyDescent="0.3">
      <c r="A24" s="18" t="str">
        <f>Info!$B$5</f>
        <v>Gemma 4 E2B</v>
      </c>
      <c r="B24" s="34">
        <v>150</v>
      </c>
      <c r="C24" s="54" t="s">
        <v>75</v>
      </c>
      <c r="D24" s="23" t="s">
        <v>75</v>
      </c>
      <c r="F24" s="50"/>
      <c r="G24" s="51"/>
      <c r="H24" s="52"/>
      <c r="I24" s="50"/>
      <c r="J24" s="51"/>
      <c r="K24" s="52"/>
      <c r="L24" s="50"/>
      <c r="M24" s="51"/>
      <c r="N24" s="52"/>
      <c r="O24" s="50"/>
      <c r="P24" s="51"/>
      <c r="Q24" s="52"/>
      <c r="S24" s="50"/>
      <c r="T24" s="51"/>
      <c r="U24" s="52"/>
      <c r="V24" s="50"/>
      <c r="W24" s="51"/>
      <c r="X24" s="52"/>
      <c r="Y24" s="50"/>
      <c r="Z24" s="51"/>
      <c r="AA24" s="52"/>
      <c r="AB24" s="50"/>
      <c r="AC24" s="51"/>
      <c r="AD24" s="52"/>
    </row>
    <row r="25" spans="1:30" ht="5.0999999999999996" customHeight="1" thickBot="1" x14ac:dyDescent="0.3">
      <c r="B25" s="30"/>
      <c r="C25" s="56"/>
      <c r="D25" s="31"/>
    </row>
    <row r="26" spans="1:30" x14ac:dyDescent="0.25">
      <c r="A26" s="16" t="str">
        <f>Info!$B$6</f>
        <v>Qwen3 8B</v>
      </c>
      <c r="B26" s="32">
        <v>4</v>
      </c>
      <c r="C26" s="55">
        <f t="shared" si="1"/>
        <v>5.21</v>
      </c>
      <c r="D26" s="20">
        <v>5.21</v>
      </c>
      <c r="F26" s="45"/>
      <c r="G26" s="46"/>
      <c r="H26" s="47"/>
      <c r="I26" s="45"/>
      <c r="J26" s="46"/>
      <c r="K26" s="47"/>
      <c r="L26" s="45"/>
      <c r="M26" s="46"/>
      <c r="N26" s="47"/>
      <c r="O26" s="45"/>
      <c r="P26" s="46"/>
      <c r="Q26" s="47"/>
      <c r="S26" s="45"/>
      <c r="T26" s="46"/>
      <c r="U26" s="47"/>
      <c r="V26" s="45"/>
      <c r="W26" s="46"/>
      <c r="X26" s="47"/>
      <c r="Y26" s="45"/>
      <c r="Z26" s="46"/>
      <c r="AA26" s="47"/>
      <c r="AB26" s="45"/>
      <c r="AC26" s="46"/>
      <c r="AD26" s="47"/>
    </row>
    <row r="27" spans="1:30" x14ac:dyDescent="0.25">
      <c r="A27" s="17" t="str">
        <f>Info!$B$6</f>
        <v>Qwen3 8B</v>
      </c>
      <c r="B27" s="33">
        <v>8</v>
      </c>
      <c r="C27" s="21">
        <f t="shared" si="1"/>
        <v>5.48</v>
      </c>
      <c r="D27" s="22">
        <v>5.48</v>
      </c>
      <c r="F27" s="48"/>
      <c r="G27" s="15"/>
      <c r="H27" s="49"/>
      <c r="I27" s="48"/>
      <c r="J27" s="15"/>
      <c r="K27" s="49"/>
      <c r="L27" s="48"/>
      <c r="M27" s="15"/>
      <c r="N27" s="49"/>
      <c r="O27" s="48"/>
      <c r="P27" s="15"/>
      <c r="Q27" s="49"/>
      <c r="S27" s="48"/>
      <c r="T27" s="15"/>
      <c r="U27" s="49"/>
      <c r="V27" s="48"/>
      <c r="W27" s="15"/>
      <c r="X27" s="49"/>
      <c r="Y27" s="48"/>
      <c r="Z27" s="15"/>
      <c r="AA27" s="49"/>
      <c r="AB27" s="48"/>
      <c r="AC27" s="15"/>
      <c r="AD27" s="49"/>
    </row>
    <row r="28" spans="1:30" x14ac:dyDescent="0.25">
      <c r="A28" s="17" t="str">
        <f>Info!$B$6</f>
        <v>Qwen3 8B</v>
      </c>
      <c r="B28" s="33">
        <v>20</v>
      </c>
      <c r="C28" s="21">
        <f t="shared" si="1"/>
        <v>6.29</v>
      </c>
      <c r="D28" s="22">
        <v>6.29</v>
      </c>
      <c r="F28" s="48"/>
      <c r="G28" s="15"/>
      <c r="H28" s="49"/>
      <c r="I28" s="48"/>
      <c r="J28" s="15"/>
      <c r="K28" s="49"/>
      <c r="L28" s="48"/>
      <c r="M28" s="15"/>
      <c r="N28" s="49"/>
      <c r="O28" s="48"/>
      <c r="P28" s="15"/>
      <c r="Q28" s="49"/>
      <c r="S28" s="48"/>
      <c r="T28" s="15"/>
      <c r="U28" s="49"/>
      <c r="V28" s="48"/>
      <c r="W28" s="15"/>
      <c r="X28" s="49"/>
      <c r="Y28" s="48"/>
      <c r="Z28" s="15"/>
      <c r="AA28" s="49"/>
      <c r="AB28" s="48"/>
      <c r="AC28" s="15"/>
      <c r="AD28" s="49"/>
    </row>
    <row r="29" spans="1:30" x14ac:dyDescent="0.25">
      <c r="A29" s="17" t="str">
        <f>Info!$B$6</f>
        <v>Qwen3 8B</v>
      </c>
      <c r="B29" s="33">
        <v>50</v>
      </c>
      <c r="C29" s="21" t="s">
        <v>75</v>
      </c>
      <c r="D29" s="22" t="s">
        <v>75</v>
      </c>
      <c r="F29" s="48"/>
      <c r="G29" s="15"/>
      <c r="H29" s="49"/>
      <c r="I29" s="48"/>
      <c r="J29" s="15"/>
      <c r="K29" s="49"/>
      <c r="L29" s="48"/>
      <c r="M29" s="15"/>
      <c r="N29" s="49"/>
      <c r="O29" s="48"/>
      <c r="P29" s="15"/>
      <c r="Q29" s="49"/>
      <c r="S29" s="48"/>
      <c r="T29" s="15"/>
      <c r="U29" s="49"/>
      <c r="V29" s="48"/>
      <c r="W29" s="15"/>
      <c r="X29" s="49"/>
      <c r="Y29" s="48"/>
      <c r="Z29" s="15"/>
      <c r="AA29" s="49"/>
      <c r="AB29" s="48"/>
      <c r="AC29" s="15"/>
      <c r="AD29" s="49"/>
    </row>
    <row r="30" spans="1:30" x14ac:dyDescent="0.25">
      <c r="A30" s="17" t="str">
        <f>Info!$B$6</f>
        <v>Qwen3 8B</v>
      </c>
      <c r="B30" s="33">
        <v>100</v>
      </c>
      <c r="C30" s="21" t="s">
        <v>75</v>
      </c>
      <c r="D30" s="22" t="s">
        <v>75</v>
      </c>
      <c r="F30" s="48"/>
      <c r="G30" s="15"/>
      <c r="H30" s="49"/>
      <c r="I30" s="48"/>
      <c r="J30" s="15"/>
      <c r="K30" s="49"/>
      <c r="L30" s="48"/>
      <c r="M30" s="15"/>
      <c r="N30" s="49"/>
      <c r="O30" s="48"/>
      <c r="P30" s="15"/>
      <c r="Q30" s="49"/>
      <c r="S30" s="48"/>
      <c r="T30" s="15"/>
      <c r="U30" s="49"/>
      <c r="V30" s="48"/>
      <c r="W30" s="15"/>
      <c r="X30" s="49"/>
      <c r="Y30" s="48"/>
      <c r="Z30" s="15"/>
      <c r="AA30" s="49"/>
      <c r="AB30" s="48"/>
      <c r="AC30" s="15"/>
      <c r="AD30" s="49"/>
    </row>
    <row r="31" spans="1:30" ht="15.75" thickBot="1" x14ac:dyDescent="0.3">
      <c r="A31" s="18" t="str">
        <f>Info!$B$6</f>
        <v>Qwen3 8B</v>
      </c>
      <c r="B31" s="34">
        <v>150</v>
      </c>
      <c r="C31" s="54" t="s">
        <v>75</v>
      </c>
      <c r="D31" s="23" t="s">
        <v>75</v>
      </c>
      <c r="F31" s="50"/>
      <c r="G31" s="51"/>
      <c r="H31" s="52"/>
      <c r="I31" s="50"/>
      <c r="J31" s="51"/>
      <c r="K31" s="52"/>
      <c r="L31" s="50"/>
      <c r="M31" s="51"/>
      <c r="N31" s="52"/>
      <c r="O31" s="50"/>
      <c r="P31" s="51"/>
      <c r="Q31" s="52"/>
      <c r="S31" s="50"/>
      <c r="T31" s="51"/>
      <c r="U31" s="52"/>
      <c r="V31" s="50"/>
      <c r="W31" s="51"/>
      <c r="X31" s="52"/>
      <c r="Y31" s="50"/>
      <c r="Z31" s="51"/>
      <c r="AA31" s="52"/>
      <c r="AB31" s="50"/>
      <c r="AC31" s="51"/>
      <c r="AD31" s="52"/>
    </row>
    <row r="32" spans="1:30" ht="5.0999999999999996" customHeight="1" thickBot="1" x14ac:dyDescent="0.3">
      <c r="B32" s="30"/>
      <c r="C32" s="56"/>
      <c r="D32" s="31"/>
    </row>
    <row r="33" spans="1:30" x14ac:dyDescent="0.25">
      <c r="A33" s="16" t="str">
        <f>Info!$B$7</f>
        <v>Gemma 4 E4B</v>
      </c>
      <c r="B33" s="32">
        <v>4</v>
      </c>
      <c r="C33" s="55">
        <f t="shared" si="1"/>
        <v>6.41</v>
      </c>
      <c r="D33" s="20">
        <v>6.41</v>
      </c>
      <c r="F33" s="45"/>
      <c r="G33" s="46"/>
      <c r="H33" s="47"/>
      <c r="I33" s="45"/>
      <c r="J33" s="46"/>
      <c r="K33" s="47"/>
      <c r="L33" s="45"/>
      <c r="M33" s="46"/>
      <c r="N33" s="47"/>
      <c r="O33" s="45"/>
      <c r="P33" s="46"/>
      <c r="Q33" s="47"/>
      <c r="S33" s="45"/>
      <c r="T33" s="46"/>
      <c r="U33" s="47"/>
      <c r="V33" s="45"/>
      <c r="W33" s="46"/>
      <c r="X33" s="47"/>
      <c r="Y33" s="45"/>
      <c r="Z33" s="46"/>
      <c r="AA33" s="47"/>
      <c r="AB33" s="45"/>
      <c r="AC33" s="46"/>
      <c r="AD33" s="47"/>
    </row>
    <row r="34" spans="1:30" x14ac:dyDescent="0.25">
      <c r="A34" s="17" t="str">
        <f>Info!$B$7</f>
        <v>Gemma 4 E4B</v>
      </c>
      <c r="B34" s="33">
        <v>8</v>
      </c>
      <c r="C34" s="21">
        <f t="shared" si="1"/>
        <v>6.6</v>
      </c>
      <c r="D34" s="22">
        <v>6.6</v>
      </c>
      <c r="F34" s="48"/>
      <c r="G34" s="15"/>
      <c r="H34" s="49"/>
      <c r="I34" s="48"/>
      <c r="J34" s="15"/>
      <c r="K34" s="49"/>
      <c r="L34" s="48"/>
      <c r="M34" s="15"/>
      <c r="N34" s="49"/>
      <c r="O34" s="48"/>
      <c r="P34" s="15"/>
      <c r="Q34" s="49"/>
      <c r="S34" s="48"/>
      <c r="T34" s="15"/>
      <c r="U34" s="49"/>
      <c r="V34" s="48"/>
      <c r="W34" s="15"/>
      <c r="X34" s="49"/>
      <c r="Y34" s="48"/>
      <c r="Z34" s="15"/>
      <c r="AA34" s="49"/>
      <c r="AB34" s="48"/>
      <c r="AC34" s="15"/>
      <c r="AD34" s="49"/>
    </row>
    <row r="35" spans="1:30" x14ac:dyDescent="0.25">
      <c r="A35" s="17" t="str">
        <f>Info!$B$7</f>
        <v>Gemma 4 E4B</v>
      </c>
      <c r="B35" s="33">
        <v>20</v>
      </c>
      <c r="C35" s="21">
        <f t="shared" si="1"/>
        <v>7.2</v>
      </c>
      <c r="D35" s="22">
        <v>7.2</v>
      </c>
      <c r="F35" s="48"/>
      <c r="G35" s="15"/>
      <c r="H35" s="49"/>
      <c r="I35" s="48"/>
      <c r="J35" s="15"/>
      <c r="K35" s="49"/>
      <c r="L35" s="48"/>
      <c r="M35" s="15"/>
      <c r="N35" s="49"/>
      <c r="O35" s="48"/>
      <c r="P35" s="15"/>
      <c r="Q35" s="49"/>
      <c r="S35" s="48"/>
      <c r="T35" s="15"/>
      <c r="U35" s="49"/>
      <c r="V35" s="48"/>
      <c r="W35" s="15"/>
      <c r="X35" s="49"/>
      <c r="Y35" s="48"/>
      <c r="Z35" s="15"/>
      <c r="AA35" s="49"/>
      <c r="AB35" s="48"/>
      <c r="AC35" s="15"/>
      <c r="AD35" s="49"/>
    </row>
    <row r="36" spans="1:30" x14ac:dyDescent="0.25">
      <c r="A36" s="17" t="str">
        <f>Info!$B$7</f>
        <v>Gemma 4 E4B</v>
      </c>
      <c r="B36" s="33">
        <v>50</v>
      </c>
      <c r="C36" s="21">
        <f t="shared" si="1"/>
        <v>8.68</v>
      </c>
      <c r="D36" s="22">
        <v>8.68</v>
      </c>
      <c r="F36" s="48"/>
      <c r="G36" s="15"/>
      <c r="H36" s="49"/>
      <c r="I36" s="48"/>
      <c r="J36" s="15"/>
      <c r="K36" s="49"/>
      <c r="L36" s="48"/>
      <c r="M36" s="15"/>
      <c r="N36" s="49"/>
      <c r="O36" s="48"/>
      <c r="P36" s="15"/>
      <c r="Q36" s="49"/>
      <c r="S36" s="48"/>
      <c r="T36" s="15"/>
      <c r="U36" s="49"/>
      <c r="V36" s="48"/>
      <c r="W36" s="15"/>
      <c r="X36" s="49"/>
      <c r="Y36" s="48"/>
      <c r="Z36" s="15"/>
      <c r="AA36" s="49"/>
      <c r="AB36" s="48"/>
      <c r="AC36" s="15"/>
      <c r="AD36" s="49"/>
    </row>
    <row r="37" spans="1:30" x14ac:dyDescent="0.25">
      <c r="A37" s="17" t="str">
        <f>Info!$B$7</f>
        <v>Gemma 4 E4B</v>
      </c>
      <c r="B37" s="33">
        <v>100</v>
      </c>
      <c r="C37" s="21">
        <f t="shared" si="1"/>
        <v>11.15</v>
      </c>
      <c r="D37" s="22">
        <v>11.15</v>
      </c>
      <c r="F37" s="48"/>
      <c r="G37" s="15"/>
      <c r="H37" s="49"/>
      <c r="I37" s="48"/>
      <c r="J37" s="15"/>
      <c r="K37" s="49"/>
      <c r="L37" s="48"/>
      <c r="M37" s="15"/>
      <c r="N37" s="49"/>
      <c r="O37" s="48"/>
      <c r="P37" s="15"/>
      <c r="Q37" s="49"/>
      <c r="S37" s="48"/>
      <c r="T37" s="15"/>
      <c r="U37" s="49"/>
      <c r="V37" s="48"/>
      <c r="W37" s="15"/>
      <c r="X37" s="49"/>
      <c r="Y37" s="48"/>
      <c r="Z37" s="15"/>
      <c r="AA37" s="49"/>
      <c r="AB37" s="48"/>
      <c r="AC37" s="15"/>
      <c r="AD37" s="49"/>
    </row>
    <row r="38" spans="1:30" ht="15.75" thickBot="1" x14ac:dyDescent="0.3">
      <c r="A38" s="18" t="str">
        <f>Info!$B$7</f>
        <v>Gemma 4 E4B</v>
      </c>
      <c r="B38" s="34">
        <v>150</v>
      </c>
      <c r="C38" s="54" t="s">
        <v>75</v>
      </c>
      <c r="D38" s="23" t="s">
        <v>75</v>
      </c>
      <c r="F38" s="50"/>
      <c r="G38" s="51"/>
      <c r="H38" s="52"/>
      <c r="I38" s="50"/>
      <c r="J38" s="51"/>
      <c r="K38" s="52"/>
      <c r="L38" s="50"/>
      <c r="M38" s="51"/>
      <c r="N38" s="52"/>
      <c r="O38" s="50"/>
      <c r="P38" s="51"/>
      <c r="Q38" s="52"/>
      <c r="S38" s="50"/>
      <c r="T38" s="51"/>
      <c r="U38" s="52"/>
      <c r="V38" s="50"/>
      <c r="W38" s="51"/>
      <c r="X38" s="52"/>
      <c r="Y38" s="50"/>
      <c r="Z38" s="51"/>
      <c r="AA38" s="52"/>
      <c r="AB38" s="50"/>
      <c r="AC38" s="51"/>
      <c r="AD38" s="52"/>
    </row>
    <row r="39" spans="1:30" ht="5.0999999999999996" customHeight="1" thickBot="1" x14ac:dyDescent="0.3">
      <c r="B39" s="30"/>
      <c r="C39" s="56"/>
      <c r="D39" s="31"/>
    </row>
    <row r="40" spans="1:30" x14ac:dyDescent="0.25">
      <c r="A40" s="16" t="str">
        <f>Info!$B$8</f>
        <v>Qwen3.5 9B</v>
      </c>
      <c r="B40" s="32">
        <v>4</v>
      </c>
      <c r="C40" s="55">
        <f t="shared" si="1"/>
        <v>7.06</v>
      </c>
      <c r="D40" s="20">
        <v>7.06</v>
      </c>
      <c r="F40" s="45"/>
      <c r="G40" s="46"/>
      <c r="H40" s="47"/>
      <c r="I40" s="45"/>
      <c r="J40" s="46"/>
      <c r="K40" s="47"/>
      <c r="L40" s="45"/>
      <c r="M40" s="46"/>
      <c r="N40" s="47"/>
      <c r="O40" s="45"/>
      <c r="P40" s="46"/>
      <c r="Q40" s="47"/>
      <c r="S40" s="45"/>
      <c r="T40" s="46"/>
      <c r="U40" s="47"/>
      <c r="V40" s="45"/>
      <c r="W40" s="46"/>
      <c r="X40" s="47"/>
      <c r="Y40" s="45"/>
      <c r="Z40" s="46"/>
      <c r="AA40" s="47"/>
      <c r="AB40" s="45"/>
      <c r="AC40" s="46"/>
      <c r="AD40" s="47"/>
    </row>
    <row r="41" spans="1:30" x14ac:dyDescent="0.25">
      <c r="A41" s="17" t="str">
        <f>Info!$B$8</f>
        <v>Qwen3.5 9B</v>
      </c>
      <c r="B41" s="33">
        <v>8</v>
      </c>
      <c r="C41" s="21">
        <f t="shared" si="1"/>
        <v>7.21</v>
      </c>
      <c r="D41" s="22">
        <v>7.21</v>
      </c>
      <c r="F41" s="48"/>
      <c r="G41" s="15"/>
      <c r="H41" s="49"/>
      <c r="I41" s="48"/>
      <c r="J41" s="15"/>
      <c r="K41" s="49"/>
      <c r="L41" s="48"/>
      <c r="M41" s="15"/>
      <c r="N41" s="49"/>
      <c r="O41" s="48"/>
      <c r="P41" s="15"/>
      <c r="Q41" s="49"/>
      <c r="S41" s="48"/>
      <c r="T41" s="15"/>
      <c r="U41" s="49"/>
      <c r="V41" s="48"/>
      <c r="W41" s="15"/>
      <c r="X41" s="49"/>
      <c r="Y41" s="48"/>
      <c r="Z41" s="15"/>
      <c r="AA41" s="49"/>
      <c r="AB41" s="48"/>
      <c r="AC41" s="15"/>
      <c r="AD41" s="49"/>
    </row>
    <row r="42" spans="1:30" x14ac:dyDescent="0.25">
      <c r="A42" s="17" t="str">
        <f>Info!$B$8</f>
        <v>Qwen3.5 9B</v>
      </c>
      <c r="B42" s="33">
        <v>20</v>
      </c>
      <c r="C42" s="21">
        <f t="shared" si="1"/>
        <v>7.66</v>
      </c>
      <c r="D42" s="22">
        <v>7.66</v>
      </c>
      <c r="F42" s="48"/>
      <c r="G42" s="15"/>
      <c r="H42" s="49"/>
      <c r="I42" s="48"/>
      <c r="J42" s="15"/>
      <c r="K42" s="49"/>
      <c r="L42" s="48"/>
      <c r="M42" s="15"/>
      <c r="N42" s="49"/>
      <c r="O42" s="48"/>
      <c r="P42" s="15"/>
      <c r="Q42" s="49"/>
      <c r="S42" s="48"/>
      <c r="T42" s="15"/>
      <c r="U42" s="49"/>
      <c r="V42" s="48"/>
      <c r="W42" s="15"/>
      <c r="X42" s="49"/>
      <c r="Y42" s="48"/>
      <c r="Z42" s="15"/>
      <c r="AA42" s="49"/>
      <c r="AB42" s="48"/>
      <c r="AC42" s="15"/>
      <c r="AD42" s="49"/>
    </row>
    <row r="43" spans="1:30" x14ac:dyDescent="0.25">
      <c r="A43" s="17" t="str">
        <f>Info!$B$8</f>
        <v>Qwen3.5 9B</v>
      </c>
      <c r="B43" s="33">
        <v>50</v>
      </c>
      <c r="C43" s="21">
        <f t="shared" si="1"/>
        <v>8.7899999999999991</v>
      </c>
      <c r="D43" s="22">
        <v>8.7899999999999991</v>
      </c>
      <c r="F43" s="48"/>
      <c r="G43" s="15"/>
      <c r="H43" s="49"/>
      <c r="I43" s="48"/>
      <c r="J43" s="15"/>
      <c r="K43" s="49"/>
      <c r="L43" s="48"/>
      <c r="M43" s="15"/>
      <c r="N43" s="49"/>
      <c r="O43" s="48"/>
      <c r="P43" s="15"/>
      <c r="Q43" s="49"/>
      <c r="S43" s="48"/>
      <c r="T43" s="15"/>
      <c r="U43" s="49"/>
      <c r="V43" s="48"/>
      <c r="W43" s="15"/>
      <c r="X43" s="49"/>
      <c r="Y43" s="48"/>
      <c r="Z43" s="15"/>
      <c r="AA43" s="49"/>
      <c r="AB43" s="48"/>
      <c r="AC43" s="15"/>
      <c r="AD43" s="49"/>
    </row>
    <row r="44" spans="1:30" x14ac:dyDescent="0.25">
      <c r="A44" s="17" t="str">
        <f>Info!$B$8</f>
        <v>Qwen3.5 9B</v>
      </c>
      <c r="B44" s="33">
        <v>100</v>
      </c>
      <c r="C44" s="21">
        <f t="shared" si="1"/>
        <v>10.68</v>
      </c>
      <c r="D44" s="22">
        <v>10.68</v>
      </c>
      <c r="F44" s="48"/>
      <c r="G44" s="15"/>
      <c r="H44" s="49"/>
      <c r="I44" s="48"/>
      <c r="J44" s="15"/>
      <c r="K44" s="49"/>
      <c r="L44" s="48"/>
      <c r="M44" s="15"/>
      <c r="N44" s="49"/>
      <c r="O44" s="48"/>
      <c r="P44" s="15"/>
      <c r="Q44" s="49"/>
      <c r="S44" s="48"/>
      <c r="T44" s="15"/>
      <c r="U44" s="49"/>
      <c r="V44" s="48"/>
      <c r="W44" s="15"/>
      <c r="X44" s="49"/>
      <c r="Y44" s="48"/>
      <c r="Z44" s="15"/>
      <c r="AA44" s="49"/>
      <c r="AB44" s="48"/>
      <c r="AC44" s="15"/>
      <c r="AD44" s="49"/>
    </row>
    <row r="45" spans="1:30" ht="15.75" thickBot="1" x14ac:dyDescent="0.3">
      <c r="A45" s="18" t="str">
        <f>Info!$B$8</f>
        <v>Qwen3.5 9B</v>
      </c>
      <c r="B45" s="34">
        <v>150</v>
      </c>
      <c r="C45" s="54">
        <f t="shared" si="1"/>
        <v>12.57</v>
      </c>
      <c r="D45" s="23">
        <v>12.57</v>
      </c>
      <c r="F45" s="50"/>
      <c r="G45" s="51"/>
      <c r="H45" s="52"/>
      <c r="I45" s="50"/>
      <c r="J45" s="51"/>
      <c r="K45" s="52"/>
      <c r="L45" s="50"/>
      <c r="M45" s="51"/>
      <c r="N45" s="52"/>
      <c r="O45" s="50"/>
      <c r="P45" s="51"/>
      <c r="Q45" s="52"/>
      <c r="S45" s="50"/>
      <c r="T45" s="51"/>
      <c r="U45" s="52"/>
      <c r="V45" s="50"/>
      <c r="W45" s="51"/>
      <c r="X45" s="52"/>
      <c r="Y45" s="50"/>
      <c r="Z45" s="51"/>
      <c r="AA45" s="52"/>
      <c r="AB45" s="50"/>
      <c r="AC45" s="51"/>
      <c r="AD45" s="52"/>
    </row>
    <row r="46" spans="1:30" ht="5.0999999999999996" customHeight="1" thickBot="1" x14ac:dyDescent="0.3">
      <c r="B46" s="30"/>
      <c r="C46" s="56"/>
      <c r="D46" s="31"/>
    </row>
    <row r="47" spans="1:30" x14ac:dyDescent="0.25">
      <c r="A47" s="16" t="str">
        <f>Info!$B$9</f>
        <v>Glm 4.6v Flash</v>
      </c>
      <c r="B47" s="32">
        <v>4</v>
      </c>
      <c r="C47" s="55">
        <f t="shared" si="1"/>
        <v>7.88</v>
      </c>
      <c r="D47" s="20">
        <v>7.88</v>
      </c>
      <c r="F47" s="45"/>
      <c r="G47" s="46"/>
      <c r="H47" s="47"/>
      <c r="I47" s="45"/>
      <c r="J47" s="46"/>
      <c r="K47" s="47"/>
      <c r="L47" s="45"/>
      <c r="M47" s="46"/>
      <c r="N47" s="47"/>
      <c r="O47" s="45"/>
      <c r="P47" s="46"/>
      <c r="Q47" s="47"/>
      <c r="S47" s="45"/>
      <c r="T47" s="46"/>
      <c r="U47" s="47"/>
      <c r="V47" s="45"/>
      <c r="W47" s="46"/>
      <c r="X47" s="47"/>
      <c r="Y47" s="45"/>
      <c r="Z47" s="46"/>
      <c r="AA47" s="47"/>
      <c r="AB47" s="45"/>
      <c r="AC47" s="46"/>
      <c r="AD47" s="47"/>
    </row>
    <row r="48" spans="1:30" x14ac:dyDescent="0.25">
      <c r="A48" s="17" t="str">
        <f>Info!$B$9</f>
        <v>Glm 4.6v Flash</v>
      </c>
      <c r="B48" s="33">
        <v>8</v>
      </c>
      <c r="C48" s="21">
        <f t="shared" si="1"/>
        <v>7.96</v>
      </c>
      <c r="D48" s="22">
        <v>7.96</v>
      </c>
      <c r="F48" s="48"/>
      <c r="G48" s="15"/>
      <c r="H48" s="49"/>
      <c r="I48" s="48"/>
      <c r="J48" s="15"/>
      <c r="K48" s="49"/>
      <c r="L48" s="48"/>
      <c r="M48" s="15"/>
      <c r="N48" s="49"/>
      <c r="O48" s="48"/>
      <c r="P48" s="15"/>
      <c r="Q48" s="49"/>
      <c r="S48" s="48"/>
      <c r="T48" s="15"/>
      <c r="U48" s="49"/>
      <c r="V48" s="48"/>
      <c r="W48" s="15"/>
      <c r="X48" s="49"/>
      <c r="Y48" s="48"/>
      <c r="Z48" s="15"/>
      <c r="AA48" s="49"/>
      <c r="AB48" s="48"/>
      <c r="AC48" s="15"/>
      <c r="AD48" s="49"/>
    </row>
    <row r="49" spans="1:30" x14ac:dyDescent="0.25">
      <c r="A49" s="17" t="str">
        <f>Info!$B$9</f>
        <v>Glm 4.6v Flash</v>
      </c>
      <c r="B49" s="33">
        <v>20</v>
      </c>
      <c r="C49" s="21">
        <f t="shared" si="1"/>
        <v>8.18</v>
      </c>
      <c r="D49" s="22">
        <v>8.18</v>
      </c>
      <c r="F49" s="48"/>
      <c r="G49" s="15"/>
      <c r="H49" s="49"/>
      <c r="I49" s="48"/>
      <c r="J49" s="15"/>
      <c r="K49" s="49"/>
      <c r="L49" s="48"/>
      <c r="M49" s="15"/>
      <c r="N49" s="49"/>
      <c r="O49" s="48"/>
      <c r="P49" s="15"/>
      <c r="Q49" s="49"/>
      <c r="S49" s="48"/>
      <c r="T49" s="15"/>
      <c r="U49" s="49"/>
      <c r="V49" s="48"/>
      <c r="W49" s="15"/>
      <c r="X49" s="49"/>
      <c r="Y49" s="48"/>
      <c r="Z49" s="15"/>
      <c r="AA49" s="49"/>
      <c r="AB49" s="48"/>
      <c r="AC49" s="15"/>
      <c r="AD49" s="49"/>
    </row>
    <row r="50" spans="1:30" x14ac:dyDescent="0.25">
      <c r="A50" s="17" t="str">
        <f>Info!$B$9</f>
        <v>Glm 4.6v Flash</v>
      </c>
      <c r="B50" s="33">
        <v>50</v>
      </c>
      <c r="C50" s="21">
        <f t="shared" si="1"/>
        <v>8.75</v>
      </c>
      <c r="D50" s="22">
        <v>8.75</v>
      </c>
      <c r="F50" s="48"/>
      <c r="G50" s="15"/>
      <c r="H50" s="49"/>
      <c r="I50" s="48"/>
      <c r="J50" s="15"/>
      <c r="K50" s="49"/>
      <c r="L50" s="48"/>
      <c r="M50" s="15"/>
      <c r="N50" s="49"/>
      <c r="O50" s="48"/>
      <c r="P50" s="15"/>
      <c r="Q50" s="49"/>
      <c r="S50" s="48"/>
      <c r="T50" s="15"/>
      <c r="U50" s="49"/>
      <c r="V50" s="48"/>
      <c r="W50" s="15"/>
      <c r="X50" s="49"/>
      <c r="Y50" s="48"/>
      <c r="Z50" s="15"/>
      <c r="AA50" s="49"/>
      <c r="AB50" s="48"/>
      <c r="AC50" s="15"/>
      <c r="AD50" s="49"/>
    </row>
    <row r="51" spans="1:30" x14ac:dyDescent="0.25">
      <c r="A51" s="17" t="str">
        <f>Info!$B$9</f>
        <v>Glm 4.6v Flash</v>
      </c>
      <c r="B51" s="33">
        <v>100</v>
      </c>
      <c r="C51" s="21">
        <f t="shared" si="1"/>
        <v>9.6999999999999993</v>
      </c>
      <c r="D51" s="22">
        <v>9.6999999999999993</v>
      </c>
      <c r="F51" s="48"/>
      <c r="G51" s="15"/>
      <c r="H51" s="49"/>
      <c r="I51" s="48"/>
      <c r="J51" s="15"/>
      <c r="K51" s="49"/>
      <c r="L51" s="48"/>
      <c r="M51" s="15"/>
      <c r="N51" s="49"/>
      <c r="O51" s="48"/>
      <c r="P51" s="15"/>
      <c r="Q51" s="49"/>
      <c r="S51" s="48"/>
      <c r="T51" s="15"/>
      <c r="U51" s="49"/>
      <c r="V51" s="48"/>
      <c r="W51" s="15"/>
      <c r="X51" s="49"/>
      <c r="Y51" s="48"/>
      <c r="Z51" s="15"/>
      <c r="AA51" s="49"/>
      <c r="AB51" s="48"/>
      <c r="AC51" s="15"/>
      <c r="AD51" s="49"/>
    </row>
    <row r="52" spans="1:30" ht="15.75" thickBot="1" x14ac:dyDescent="0.3">
      <c r="A52" s="18" t="str">
        <f>Info!$B$9</f>
        <v>Glm 4.6v Flash</v>
      </c>
      <c r="B52" s="34">
        <v>150</v>
      </c>
      <c r="C52" s="54" t="s">
        <v>75</v>
      </c>
      <c r="D52" s="23" t="s">
        <v>75</v>
      </c>
      <c r="F52" s="50"/>
      <c r="G52" s="51"/>
      <c r="H52" s="52"/>
      <c r="I52" s="50"/>
      <c r="J52" s="51"/>
      <c r="K52" s="52"/>
      <c r="L52" s="50"/>
      <c r="M52" s="51"/>
      <c r="N52" s="52"/>
      <c r="O52" s="50"/>
      <c r="P52" s="51"/>
      <c r="Q52" s="52"/>
      <c r="S52" s="50"/>
      <c r="T52" s="51"/>
      <c r="U52" s="52"/>
      <c r="V52" s="50"/>
      <c r="W52" s="51"/>
      <c r="X52" s="52"/>
      <c r="Y52" s="50"/>
      <c r="Z52" s="51"/>
      <c r="AA52" s="52"/>
      <c r="AB52" s="50"/>
      <c r="AC52" s="51"/>
      <c r="AD52" s="52"/>
    </row>
    <row r="53" spans="1:30" ht="5.0999999999999996" customHeight="1" thickBot="1" x14ac:dyDescent="0.3">
      <c r="C53" s="56"/>
    </row>
    <row r="54" spans="1:30" x14ac:dyDescent="0.25">
      <c r="A54" s="16" t="str">
        <f>Info!$B$10</f>
        <v>Qwen2.5 14B Instruct</v>
      </c>
      <c r="B54" s="32">
        <v>4</v>
      </c>
      <c r="C54" s="55">
        <f t="shared" si="1"/>
        <v>9.19</v>
      </c>
      <c r="D54" s="20">
        <v>9.19</v>
      </c>
      <c r="F54" s="45"/>
      <c r="G54" s="46"/>
      <c r="H54" s="47"/>
      <c r="I54" s="45"/>
      <c r="J54" s="46"/>
      <c r="K54" s="47"/>
      <c r="L54" s="45"/>
      <c r="M54" s="46"/>
      <c r="N54" s="47"/>
      <c r="O54" s="45"/>
      <c r="P54" s="46"/>
      <c r="Q54" s="47"/>
      <c r="S54" s="45"/>
      <c r="T54" s="46"/>
      <c r="U54" s="47"/>
      <c r="V54" s="45"/>
      <c r="W54" s="46"/>
      <c r="X54" s="47"/>
      <c r="Y54" s="45"/>
      <c r="Z54" s="46"/>
      <c r="AA54" s="47"/>
      <c r="AB54" s="45"/>
      <c r="AC54" s="46"/>
      <c r="AD54" s="47"/>
    </row>
    <row r="55" spans="1:30" x14ac:dyDescent="0.25">
      <c r="A55" s="17" t="str">
        <f>Info!$B$10</f>
        <v>Qwen2.5 14B Instruct</v>
      </c>
      <c r="B55" s="33">
        <v>8</v>
      </c>
      <c r="C55" s="21">
        <f t="shared" si="1"/>
        <v>9.5399999999999991</v>
      </c>
      <c r="D55" s="22">
        <v>9.5399999999999991</v>
      </c>
      <c r="F55" s="48"/>
      <c r="G55" s="15"/>
      <c r="H55" s="49"/>
      <c r="I55" s="48"/>
      <c r="J55" s="15"/>
      <c r="K55" s="49"/>
      <c r="L55" s="48"/>
      <c r="M55" s="15"/>
      <c r="N55" s="49"/>
      <c r="O55" s="48"/>
      <c r="P55" s="15"/>
      <c r="Q55" s="49"/>
      <c r="S55" s="48"/>
      <c r="T55" s="15"/>
      <c r="U55" s="49"/>
      <c r="V55" s="48"/>
      <c r="W55" s="15"/>
      <c r="X55" s="49"/>
      <c r="Y55" s="48"/>
      <c r="Z55" s="15"/>
      <c r="AA55" s="49"/>
      <c r="AB55" s="48"/>
      <c r="AC55" s="15"/>
      <c r="AD55" s="49"/>
    </row>
    <row r="56" spans="1:30" x14ac:dyDescent="0.25">
      <c r="A56" s="17" t="str">
        <f>Info!$B$10</f>
        <v>Qwen2.5 14B Instruct</v>
      </c>
      <c r="B56" s="33">
        <v>20</v>
      </c>
      <c r="C56" s="21">
        <f t="shared" si="1"/>
        <v>10.62</v>
      </c>
      <c r="D56" s="22">
        <v>10.62</v>
      </c>
      <c r="F56" s="48"/>
      <c r="G56" s="15"/>
      <c r="H56" s="49"/>
      <c r="I56" s="48"/>
      <c r="J56" s="15"/>
      <c r="K56" s="49"/>
      <c r="L56" s="48"/>
      <c r="M56" s="15"/>
      <c r="N56" s="49"/>
      <c r="O56" s="48"/>
      <c r="P56" s="15"/>
      <c r="Q56" s="49"/>
      <c r="S56" s="48"/>
      <c r="T56" s="15"/>
      <c r="U56" s="49"/>
      <c r="V56" s="48"/>
      <c r="W56" s="15"/>
      <c r="X56" s="49"/>
      <c r="Y56" s="48"/>
      <c r="Z56" s="15"/>
      <c r="AA56" s="49"/>
      <c r="AB56" s="48"/>
      <c r="AC56" s="15"/>
      <c r="AD56" s="49"/>
    </row>
    <row r="57" spans="1:30" x14ac:dyDescent="0.25">
      <c r="A57" s="17" t="str">
        <f>Info!$B$10</f>
        <v>Qwen2.5 14B Instruct</v>
      </c>
      <c r="B57" s="33">
        <v>50</v>
      </c>
      <c r="C57" s="21" t="s">
        <v>75</v>
      </c>
      <c r="D57" s="22" t="s">
        <v>75</v>
      </c>
      <c r="F57" s="48"/>
      <c r="G57" s="15"/>
      <c r="H57" s="49"/>
      <c r="I57" s="48"/>
      <c r="J57" s="15"/>
      <c r="K57" s="49"/>
      <c r="L57" s="48"/>
      <c r="M57" s="15"/>
      <c r="N57" s="49"/>
      <c r="O57" s="48"/>
      <c r="P57" s="15"/>
      <c r="Q57" s="49"/>
      <c r="S57" s="48"/>
      <c r="T57" s="15"/>
      <c r="U57" s="49"/>
      <c r="V57" s="48"/>
      <c r="W57" s="15"/>
      <c r="X57" s="49"/>
      <c r="Y57" s="48"/>
      <c r="Z57" s="15"/>
      <c r="AA57" s="49"/>
      <c r="AB57" s="48"/>
      <c r="AC57" s="15"/>
      <c r="AD57" s="49"/>
    </row>
    <row r="58" spans="1:30" x14ac:dyDescent="0.25">
      <c r="A58" s="17" t="str">
        <f>Info!$B$10</f>
        <v>Qwen2.5 14B Instruct</v>
      </c>
      <c r="B58" s="33">
        <v>100</v>
      </c>
      <c r="C58" s="21" t="s">
        <v>75</v>
      </c>
      <c r="D58" s="22" t="s">
        <v>75</v>
      </c>
      <c r="F58" s="48"/>
      <c r="G58" s="15"/>
      <c r="H58" s="49"/>
      <c r="I58" s="48"/>
      <c r="J58" s="15"/>
      <c r="K58" s="49"/>
      <c r="L58" s="48"/>
      <c r="M58" s="15"/>
      <c r="N58" s="49"/>
      <c r="O58" s="48"/>
      <c r="P58" s="15"/>
      <c r="Q58" s="49"/>
      <c r="S58" s="48"/>
      <c r="T58" s="15"/>
      <c r="U58" s="49"/>
      <c r="V58" s="48"/>
      <c r="W58" s="15"/>
      <c r="X58" s="49"/>
      <c r="Y58" s="48"/>
      <c r="Z58" s="15"/>
      <c r="AA58" s="49"/>
      <c r="AB58" s="48"/>
      <c r="AC58" s="15"/>
      <c r="AD58" s="49"/>
    </row>
    <row r="59" spans="1:30" ht="15.75" thickBot="1" x14ac:dyDescent="0.3">
      <c r="A59" s="18" t="str">
        <f>Info!$B$10</f>
        <v>Qwen2.5 14B Instruct</v>
      </c>
      <c r="B59" s="34">
        <v>150</v>
      </c>
      <c r="C59" s="54" t="s">
        <v>75</v>
      </c>
      <c r="D59" s="23" t="s">
        <v>75</v>
      </c>
      <c r="F59" s="50"/>
      <c r="G59" s="51"/>
      <c r="H59" s="52"/>
      <c r="I59" s="50"/>
      <c r="J59" s="51"/>
      <c r="K59" s="52"/>
      <c r="L59" s="50"/>
      <c r="M59" s="51"/>
      <c r="N59" s="52"/>
      <c r="O59" s="50"/>
      <c r="P59" s="51"/>
      <c r="Q59" s="52"/>
      <c r="S59" s="50"/>
      <c r="T59" s="51"/>
      <c r="U59" s="52"/>
      <c r="V59" s="50"/>
      <c r="W59" s="51"/>
      <c r="X59" s="52"/>
      <c r="Y59" s="50"/>
      <c r="Z59" s="51"/>
      <c r="AA59" s="52"/>
      <c r="AB59" s="50"/>
      <c r="AC59" s="51"/>
      <c r="AD59" s="52"/>
    </row>
    <row r="60" spans="1:30" ht="5.0999999999999996" customHeight="1" thickBot="1" x14ac:dyDescent="0.3">
      <c r="C60" s="56"/>
    </row>
    <row r="61" spans="1:30" x14ac:dyDescent="0.25">
      <c r="A61" s="16" t="str">
        <f>Info!$B$11</f>
        <v>Ministral 3 14B Reasoning</v>
      </c>
      <c r="B61" s="32">
        <v>4</v>
      </c>
      <c r="C61" s="55">
        <f t="shared" si="1"/>
        <v>9.33</v>
      </c>
      <c r="D61" s="20">
        <v>9.33</v>
      </c>
      <c r="F61" s="45"/>
      <c r="G61" s="46"/>
      <c r="H61" s="47"/>
      <c r="I61" s="45"/>
      <c r="J61" s="46"/>
      <c r="K61" s="47"/>
      <c r="L61" s="45"/>
      <c r="M61" s="46"/>
      <c r="N61" s="47"/>
      <c r="O61" s="45"/>
      <c r="P61" s="46"/>
      <c r="Q61" s="47"/>
      <c r="S61" s="45"/>
      <c r="T61" s="46"/>
      <c r="U61" s="47"/>
      <c r="V61" s="45"/>
      <c r="W61" s="46"/>
      <c r="X61" s="47"/>
      <c r="Y61" s="45"/>
      <c r="Z61" s="46"/>
      <c r="AA61" s="47"/>
      <c r="AB61" s="45"/>
      <c r="AC61" s="46"/>
      <c r="AD61" s="47"/>
    </row>
    <row r="62" spans="1:30" x14ac:dyDescent="0.25">
      <c r="A62" s="17" t="str">
        <f>Info!$B$11</f>
        <v>Ministral 3 14B Reasoning</v>
      </c>
      <c r="B62" s="33">
        <v>8</v>
      </c>
      <c r="C62" s="21">
        <f t="shared" si="1"/>
        <v>9.6999999999999993</v>
      </c>
      <c r="D62" s="22">
        <v>9.6999999999999993</v>
      </c>
      <c r="F62" s="48"/>
      <c r="G62" s="15"/>
      <c r="H62" s="49"/>
      <c r="I62" s="48"/>
      <c r="J62" s="15"/>
      <c r="K62" s="49"/>
      <c r="L62" s="48"/>
      <c r="M62" s="15"/>
      <c r="N62" s="49"/>
      <c r="O62" s="48"/>
      <c r="P62" s="15"/>
      <c r="Q62" s="49"/>
      <c r="S62" s="48"/>
      <c r="T62" s="15"/>
      <c r="U62" s="49"/>
      <c r="V62" s="48"/>
      <c r="W62" s="15"/>
      <c r="X62" s="49"/>
      <c r="Y62" s="48"/>
      <c r="Z62" s="15"/>
      <c r="AA62" s="49"/>
      <c r="AB62" s="48"/>
      <c r="AC62" s="15"/>
      <c r="AD62" s="49"/>
    </row>
    <row r="63" spans="1:30" x14ac:dyDescent="0.25">
      <c r="A63" s="17" t="str">
        <f>Info!$B$11</f>
        <v>Ministral 3 14B Reasoning</v>
      </c>
      <c r="B63" s="33">
        <v>20</v>
      </c>
      <c r="C63" s="21">
        <f t="shared" si="1"/>
        <v>10.83</v>
      </c>
      <c r="D63" s="22">
        <v>10.83</v>
      </c>
      <c r="F63" s="48"/>
      <c r="G63" s="15"/>
      <c r="H63" s="49"/>
      <c r="I63" s="48"/>
      <c r="J63" s="15"/>
      <c r="K63" s="49"/>
      <c r="L63" s="48"/>
      <c r="M63" s="15"/>
      <c r="N63" s="49"/>
      <c r="O63" s="48"/>
      <c r="P63" s="15"/>
      <c r="Q63" s="49"/>
      <c r="S63" s="48"/>
      <c r="T63" s="15"/>
      <c r="U63" s="49"/>
      <c r="V63" s="48"/>
      <c r="W63" s="15"/>
      <c r="X63" s="49"/>
      <c r="Y63" s="48"/>
      <c r="Z63" s="15"/>
      <c r="AA63" s="49"/>
      <c r="AB63" s="48"/>
      <c r="AC63" s="15"/>
      <c r="AD63" s="49"/>
    </row>
    <row r="64" spans="1:30" x14ac:dyDescent="0.25">
      <c r="A64" s="17" t="str">
        <f>Info!$B$11</f>
        <v>Ministral 3 14B Reasoning</v>
      </c>
      <c r="B64" s="33">
        <v>50</v>
      </c>
      <c r="C64" s="21">
        <f t="shared" si="1"/>
        <v>13.65</v>
      </c>
      <c r="D64" s="22">
        <v>13.65</v>
      </c>
      <c r="F64" s="48"/>
      <c r="G64" s="15"/>
      <c r="H64" s="49"/>
      <c r="I64" s="48"/>
      <c r="J64" s="15"/>
      <c r="K64" s="49"/>
      <c r="L64" s="48"/>
      <c r="M64" s="15"/>
      <c r="N64" s="49"/>
      <c r="O64" s="48"/>
      <c r="P64" s="15"/>
      <c r="Q64" s="49"/>
      <c r="S64" s="48"/>
      <c r="T64" s="15"/>
      <c r="U64" s="49"/>
      <c r="V64" s="48"/>
      <c r="W64" s="15"/>
      <c r="X64" s="49"/>
      <c r="Y64" s="48"/>
      <c r="Z64" s="15"/>
      <c r="AA64" s="49"/>
      <c r="AB64" s="48"/>
      <c r="AC64" s="15"/>
      <c r="AD64" s="49"/>
    </row>
    <row r="65" spans="1:30" x14ac:dyDescent="0.25">
      <c r="A65" s="17" t="str">
        <f>Info!$B$11</f>
        <v>Ministral 3 14B Reasoning</v>
      </c>
      <c r="B65" s="33">
        <v>100</v>
      </c>
      <c r="C65" s="21">
        <f t="shared" si="1"/>
        <v>16</v>
      </c>
      <c r="D65" s="22">
        <v>18.34</v>
      </c>
      <c r="F65" s="48"/>
      <c r="G65" s="15"/>
      <c r="H65" s="49"/>
      <c r="I65" s="48"/>
      <c r="J65" s="15"/>
      <c r="K65" s="49"/>
      <c r="L65" s="48"/>
      <c r="M65" s="15"/>
      <c r="N65" s="49"/>
      <c r="O65" s="48"/>
      <c r="P65" s="15"/>
      <c r="Q65" s="49"/>
      <c r="S65" s="48"/>
      <c r="T65" s="15"/>
      <c r="U65" s="49"/>
      <c r="V65" s="48"/>
      <c r="W65" s="15"/>
      <c r="X65" s="49"/>
      <c r="Y65" s="48"/>
      <c r="Z65" s="15"/>
      <c r="AA65" s="49"/>
      <c r="AB65" s="48"/>
      <c r="AC65" s="15"/>
      <c r="AD65" s="49"/>
    </row>
    <row r="66" spans="1:30" ht="15.75" thickBot="1" x14ac:dyDescent="0.3">
      <c r="A66" s="18" t="str">
        <f>Info!$B$11</f>
        <v>Ministral 3 14B Reasoning</v>
      </c>
      <c r="B66" s="34">
        <v>150</v>
      </c>
      <c r="C66" s="54">
        <f t="shared" si="1"/>
        <v>16</v>
      </c>
      <c r="D66" s="23">
        <v>23.04</v>
      </c>
      <c r="F66" s="50"/>
      <c r="G66" s="51"/>
      <c r="H66" s="52"/>
      <c r="I66" s="50"/>
      <c r="J66" s="51"/>
      <c r="K66" s="52"/>
      <c r="L66" s="50"/>
      <c r="M66" s="51"/>
      <c r="N66" s="52"/>
      <c r="O66" s="50"/>
      <c r="P66" s="51"/>
      <c r="Q66" s="52"/>
      <c r="S66" s="50"/>
      <c r="T66" s="51"/>
      <c r="U66" s="52"/>
      <c r="V66" s="50"/>
      <c r="W66" s="51"/>
      <c r="X66" s="52"/>
      <c r="Y66" s="50"/>
      <c r="Z66" s="51"/>
      <c r="AA66" s="52"/>
      <c r="AB66" s="50"/>
      <c r="AC66" s="51"/>
      <c r="AD66" s="52"/>
    </row>
    <row r="67" spans="1:30" ht="5.0999999999999996" customHeight="1" thickBot="1" x14ac:dyDescent="0.3">
      <c r="C67" s="56"/>
    </row>
    <row r="68" spans="1:30" x14ac:dyDescent="0.25">
      <c r="A68" s="16" t="str">
        <f>Info!$B$12</f>
        <v>GPT-OSS 20B</v>
      </c>
      <c r="B68" s="32">
        <v>4</v>
      </c>
      <c r="C68" s="55">
        <f t="shared" si="1"/>
        <v>11.95</v>
      </c>
      <c r="D68" s="20">
        <v>11.95</v>
      </c>
      <c r="F68" s="45"/>
      <c r="G68" s="46"/>
      <c r="H68" s="47"/>
      <c r="I68" s="45"/>
      <c r="J68" s="46"/>
      <c r="K68" s="47"/>
      <c r="L68" s="45"/>
      <c r="M68" s="46"/>
      <c r="N68" s="47"/>
      <c r="O68" s="45"/>
      <c r="P68" s="46"/>
      <c r="Q68" s="47"/>
      <c r="S68" s="45"/>
      <c r="T68" s="46"/>
      <c r="U68" s="47"/>
      <c r="V68" s="45"/>
      <c r="W68" s="46"/>
      <c r="X68" s="47"/>
      <c r="Y68" s="45"/>
      <c r="Z68" s="46"/>
      <c r="AA68" s="47"/>
      <c r="AB68" s="45"/>
      <c r="AC68" s="46"/>
      <c r="AD68" s="47"/>
    </row>
    <row r="69" spans="1:30" x14ac:dyDescent="0.25">
      <c r="A69" s="17" t="str">
        <f>Info!$B$12</f>
        <v>GPT-OSS 20B</v>
      </c>
      <c r="B69" s="33">
        <v>8</v>
      </c>
      <c r="C69" s="21">
        <f t="shared" si="1"/>
        <v>12.01</v>
      </c>
      <c r="D69" s="22">
        <v>12.01</v>
      </c>
      <c r="F69" s="48"/>
      <c r="G69" s="15"/>
      <c r="H69" s="49"/>
      <c r="I69" s="48"/>
      <c r="J69" s="15"/>
      <c r="K69" s="49"/>
      <c r="L69" s="48"/>
      <c r="M69" s="15"/>
      <c r="N69" s="49"/>
      <c r="O69" s="48"/>
      <c r="P69" s="15"/>
      <c r="Q69" s="49"/>
      <c r="S69" s="48"/>
      <c r="T69" s="15"/>
      <c r="U69" s="49"/>
      <c r="V69" s="48"/>
      <c r="W69" s="15"/>
      <c r="X69" s="49"/>
      <c r="Y69" s="48"/>
      <c r="Z69" s="15"/>
      <c r="AA69" s="49"/>
      <c r="AB69" s="48"/>
      <c r="AC69" s="15"/>
      <c r="AD69" s="49"/>
    </row>
    <row r="70" spans="1:30" x14ac:dyDescent="0.25">
      <c r="A70" s="17" t="str">
        <f>Info!$B$12</f>
        <v>GPT-OSS 20B</v>
      </c>
      <c r="B70" s="33">
        <v>20</v>
      </c>
      <c r="C70" s="21">
        <f t="shared" si="1"/>
        <v>12.2</v>
      </c>
      <c r="D70" s="22">
        <v>12.2</v>
      </c>
      <c r="F70" s="48"/>
      <c r="G70" s="15"/>
      <c r="H70" s="49"/>
      <c r="I70" s="48"/>
      <c r="J70" s="15"/>
      <c r="K70" s="49"/>
      <c r="L70" s="48"/>
      <c r="M70" s="15"/>
      <c r="N70" s="49"/>
      <c r="O70" s="48"/>
      <c r="P70" s="15"/>
      <c r="Q70" s="49"/>
      <c r="S70" s="48"/>
      <c r="T70" s="15"/>
      <c r="U70" s="49"/>
      <c r="V70" s="48"/>
      <c r="W70" s="15"/>
      <c r="X70" s="49"/>
      <c r="Y70" s="48"/>
      <c r="Z70" s="15"/>
      <c r="AA70" s="49"/>
      <c r="AB70" s="48"/>
      <c r="AC70" s="15"/>
      <c r="AD70" s="49"/>
    </row>
    <row r="71" spans="1:30" x14ac:dyDescent="0.25">
      <c r="A71" s="17" t="str">
        <f>Info!$B$12</f>
        <v>GPT-OSS 20B</v>
      </c>
      <c r="B71" s="33">
        <v>50</v>
      </c>
      <c r="C71" s="21">
        <f t="shared" si="1"/>
        <v>12.68</v>
      </c>
      <c r="D71" s="22">
        <v>12.68</v>
      </c>
      <c r="F71" s="48"/>
      <c r="G71" s="15"/>
      <c r="H71" s="49"/>
      <c r="I71" s="48"/>
      <c r="J71" s="15"/>
      <c r="K71" s="49"/>
      <c r="L71" s="48"/>
      <c r="M71" s="15"/>
      <c r="N71" s="49"/>
      <c r="O71" s="48"/>
      <c r="P71" s="15"/>
      <c r="Q71" s="49"/>
      <c r="S71" s="48"/>
      <c r="T71" s="15"/>
      <c r="U71" s="49"/>
      <c r="V71" s="48"/>
      <c r="W71" s="15"/>
      <c r="X71" s="49"/>
      <c r="Y71" s="48"/>
      <c r="Z71" s="15"/>
      <c r="AA71" s="49"/>
      <c r="AB71" s="48"/>
      <c r="AC71" s="15"/>
      <c r="AD71" s="49"/>
    </row>
    <row r="72" spans="1:30" x14ac:dyDescent="0.25">
      <c r="A72" s="17" t="str">
        <f>Info!$B$12</f>
        <v>GPT-OSS 20B</v>
      </c>
      <c r="B72" s="33">
        <v>100</v>
      </c>
      <c r="C72" s="21">
        <f t="shared" si="1"/>
        <v>13.49</v>
      </c>
      <c r="D72" s="22">
        <v>13.49</v>
      </c>
      <c r="F72" s="48"/>
      <c r="G72" s="15"/>
      <c r="H72" s="49"/>
      <c r="I72" s="48"/>
      <c r="J72" s="15"/>
      <c r="K72" s="49"/>
      <c r="L72" s="48"/>
      <c r="M72" s="15"/>
      <c r="N72" s="49"/>
      <c r="O72" s="48"/>
      <c r="P72" s="15"/>
      <c r="Q72" s="49"/>
      <c r="S72" s="48"/>
      <c r="T72" s="15"/>
      <c r="U72" s="49"/>
      <c r="V72" s="48"/>
      <c r="W72" s="15"/>
      <c r="X72" s="49"/>
      <c r="Y72" s="48"/>
      <c r="Z72" s="15"/>
      <c r="AA72" s="49"/>
      <c r="AB72" s="48"/>
      <c r="AC72" s="15"/>
      <c r="AD72" s="49"/>
    </row>
    <row r="73" spans="1:30" ht="15.75" thickBot="1" x14ac:dyDescent="0.3">
      <c r="A73" s="18" t="str">
        <f>Info!$B$12</f>
        <v>GPT-OSS 20B</v>
      </c>
      <c r="B73" s="34">
        <v>150</v>
      </c>
      <c r="C73" s="54" t="s">
        <v>75</v>
      </c>
      <c r="D73" s="23" t="s">
        <v>75</v>
      </c>
      <c r="F73" s="50"/>
      <c r="G73" s="51"/>
      <c r="H73" s="52"/>
      <c r="I73" s="50"/>
      <c r="J73" s="51"/>
      <c r="K73" s="52"/>
      <c r="L73" s="50"/>
      <c r="M73" s="51"/>
      <c r="N73" s="52"/>
      <c r="O73" s="50"/>
      <c r="P73" s="51"/>
      <c r="Q73" s="52"/>
      <c r="S73" s="50"/>
      <c r="T73" s="51"/>
      <c r="U73" s="52"/>
      <c r="V73" s="50"/>
      <c r="W73" s="51"/>
      <c r="X73" s="52"/>
      <c r="Y73" s="50"/>
      <c r="Z73" s="51"/>
      <c r="AA73" s="52"/>
      <c r="AB73" s="50"/>
      <c r="AC73" s="51"/>
      <c r="AD73" s="52"/>
    </row>
    <row r="74" spans="1:30" ht="5.0999999999999996" customHeight="1" thickBot="1" x14ac:dyDescent="0.3">
      <c r="C74" s="56"/>
    </row>
    <row r="75" spans="1:30" x14ac:dyDescent="0.25">
      <c r="A75" s="16" t="str">
        <f>Info!$B$13</f>
        <v>Gemma 3 27B</v>
      </c>
      <c r="B75" s="32">
        <v>4</v>
      </c>
      <c r="C75" s="55">
        <f t="shared" si="1"/>
        <v>12.89</v>
      </c>
      <c r="D75" s="20">
        <v>12.89</v>
      </c>
      <c r="F75" s="45"/>
      <c r="G75" s="46"/>
      <c r="H75" s="47"/>
      <c r="I75" s="45"/>
      <c r="J75" s="46"/>
      <c r="K75" s="47"/>
      <c r="L75" s="45"/>
      <c r="M75" s="46"/>
      <c r="N75" s="47"/>
      <c r="O75" s="45"/>
      <c r="P75" s="46"/>
      <c r="Q75" s="47"/>
      <c r="S75" s="45"/>
      <c r="T75" s="46"/>
      <c r="U75" s="47"/>
      <c r="V75" s="45"/>
      <c r="W75" s="46"/>
      <c r="X75" s="47"/>
      <c r="Y75" s="45"/>
      <c r="Z75" s="46"/>
      <c r="AA75" s="47"/>
      <c r="AB75" s="45"/>
      <c r="AC75" s="46"/>
      <c r="AD75" s="47"/>
    </row>
    <row r="76" spans="1:30" x14ac:dyDescent="0.25">
      <c r="A76" s="17" t="str">
        <f>Info!$B$13</f>
        <v>Gemma 3 27B</v>
      </c>
      <c r="B76" s="33">
        <v>8</v>
      </c>
      <c r="C76" s="21">
        <f t="shared" si="1"/>
        <v>13.77</v>
      </c>
      <c r="D76" s="22">
        <v>13.77</v>
      </c>
      <c r="F76" s="48"/>
      <c r="G76" s="15"/>
      <c r="H76" s="49"/>
      <c r="I76" s="48"/>
      <c r="J76" s="15"/>
      <c r="K76" s="49"/>
      <c r="L76" s="48"/>
      <c r="M76" s="15"/>
      <c r="N76" s="49"/>
      <c r="O76" s="48"/>
      <c r="P76" s="15"/>
      <c r="Q76" s="49"/>
      <c r="S76" s="48"/>
      <c r="T76" s="15"/>
      <c r="U76" s="49"/>
      <c r="V76" s="48"/>
      <c r="W76" s="15"/>
      <c r="X76" s="49"/>
      <c r="Y76" s="48"/>
      <c r="Z76" s="15"/>
      <c r="AA76" s="49"/>
      <c r="AB76" s="48"/>
      <c r="AC76" s="15"/>
      <c r="AD76" s="49"/>
    </row>
    <row r="77" spans="1:30" x14ac:dyDescent="0.25">
      <c r="A77" s="17" t="str">
        <f>Info!$B$13</f>
        <v>Gemma 3 27B</v>
      </c>
      <c r="B77" s="33">
        <v>20</v>
      </c>
      <c r="C77" s="21">
        <f t="shared" si="1"/>
        <v>16</v>
      </c>
      <c r="D77" s="22">
        <v>16.489999999999998</v>
      </c>
      <c r="F77" s="48"/>
      <c r="G77" s="15"/>
      <c r="H77" s="49"/>
      <c r="I77" s="48"/>
      <c r="J77" s="15"/>
      <c r="K77" s="49"/>
      <c r="L77" s="48"/>
      <c r="M77" s="15"/>
      <c r="N77" s="49"/>
      <c r="O77" s="48"/>
      <c r="P77" s="15"/>
      <c r="Q77" s="49"/>
      <c r="S77" s="48"/>
      <c r="T77" s="15"/>
      <c r="U77" s="49"/>
      <c r="V77" s="48"/>
      <c r="W77" s="15"/>
      <c r="X77" s="49"/>
      <c r="Y77" s="48"/>
      <c r="Z77" s="15"/>
      <c r="AA77" s="49"/>
      <c r="AB77" s="48"/>
      <c r="AC77" s="15"/>
      <c r="AD77" s="49"/>
    </row>
    <row r="78" spans="1:30" x14ac:dyDescent="0.25">
      <c r="A78" s="17" t="str">
        <f>Info!$B$13</f>
        <v>Gemma 3 27B</v>
      </c>
      <c r="B78" s="33">
        <v>50</v>
      </c>
      <c r="C78" s="21">
        <f t="shared" si="1"/>
        <v>16</v>
      </c>
      <c r="D78" s="22">
        <v>23.29</v>
      </c>
      <c r="F78" s="48"/>
      <c r="G78" s="15"/>
      <c r="H78" s="49"/>
      <c r="I78" s="48"/>
      <c r="J78" s="15"/>
      <c r="K78" s="49"/>
      <c r="L78" s="48"/>
      <c r="M78" s="15"/>
      <c r="N78" s="49"/>
      <c r="O78" s="48"/>
      <c r="P78" s="15"/>
      <c r="Q78" s="49"/>
      <c r="S78" s="48"/>
      <c r="T78" s="15"/>
      <c r="U78" s="49"/>
      <c r="V78" s="48"/>
      <c r="W78" s="15"/>
      <c r="X78" s="49"/>
      <c r="Y78" s="48"/>
      <c r="Z78" s="15"/>
      <c r="AA78" s="49"/>
      <c r="AB78" s="48"/>
      <c r="AC78" s="15"/>
      <c r="AD78" s="49"/>
    </row>
    <row r="79" spans="1:30" x14ac:dyDescent="0.25">
      <c r="A79" s="17" t="str">
        <f>Info!$B$13</f>
        <v>Gemma 3 27B</v>
      </c>
      <c r="B79" s="33">
        <v>100</v>
      </c>
      <c r="C79" s="21">
        <f t="shared" si="1"/>
        <v>16</v>
      </c>
      <c r="D79" s="22">
        <v>34.619999999999997</v>
      </c>
      <c r="F79" s="48"/>
      <c r="G79" s="15"/>
      <c r="H79" s="49"/>
      <c r="I79" s="48"/>
      <c r="J79" s="15"/>
      <c r="K79" s="49"/>
      <c r="L79" s="48"/>
      <c r="M79" s="15"/>
      <c r="N79" s="49"/>
      <c r="O79" s="48"/>
      <c r="P79" s="15"/>
      <c r="Q79" s="49"/>
      <c r="S79" s="48"/>
      <c r="T79" s="15"/>
      <c r="U79" s="49"/>
      <c r="V79" s="48"/>
      <c r="W79" s="15"/>
      <c r="X79" s="49"/>
      <c r="Y79" s="48"/>
      <c r="Z79" s="15"/>
      <c r="AA79" s="49"/>
      <c r="AB79" s="48"/>
      <c r="AC79" s="15"/>
      <c r="AD79" s="49"/>
    </row>
    <row r="80" spans="1:30" ht="15.75" thickBot="1" x14ac:dyDescent="0.3">
      <c r="A80" s="18" t="str">
        <f>Info!$B$13</f>
        <v>Gemma 3 27B</v>
      </c>
      <c r="B80" s="34">
        <v>150</v>
      </c>
      <c r="C80" s="54" t="s">
        <v>75</v>
      </c>
      <c r="D80" s="23" t="s">
        <v>75</v>
      </c>
      <c r="F80" s="50"/>
      <c r="G80" s="51"/>
      <c r="H80" s="52"/>
      <c r="I80" s="50"/>
      <c r="J80" s="51"/>
      <c r="K80" s="52"/>
      <c r="L80" s="50"/>
      <c r="M80" s="51"/>
      <c r="N80" s="52"/>
      <c r="O80" s="50"/>
      <c r="P80" s="51"/>
      <c r="Q80" s="52"/>
      <c r="S80" s="50"/>
      <c r="T80" s="51"/>
      <c r="U80" s="52"/>
      <c r="V80" s="50"/>
      <c r="W80" s="51"/>
      <c r="X80" s="52"/>
      <c r="Y80" s="50"/>
      <c r="Z80" s="51"/>
      <c r="AA80" s="52"/>
      <c r="AB80" s="50"/>
      <c r="AC80" s="51"/>
      <c r="AD80" s="52"/>
    </row>
    <row r="81" spans="1:30" ht="5.0999999999999996" customHeight="1" thickBot="1" x14ac:dyDescent="0.3">
      <c r="C81" s="56"/>
    </row>
    <row r="82" spans="1:30" x14ac:dyDescent="0.25">
      <c r="A82" s="16" t="str">
        <f>Info!$B$14</f>
        <v>Gemma 4 26B A4B</v>
      </c>
      <c r="B82" s="32">
        <v>4</v>
      </c>
      <c r="C82" s="55">
        <f t="shared" si="1"/>
        <v>16</v>
      </c>
      <c r="D82" s="20">
        <v>17.93</v>
      </c>
      <c r="F82" s="45"/>
      <c r="G82" s="46"/>
      <c r="H82" s="47"/>
      <c r="I82" s="45"/>
      <c r="J82" s="46"/>
      <c r="K82" s="47"/>
      <c r="L82" s="45"/>
      <c r="M82" s="46"/>
      <c r="N82" s="47"/>
      <c r="O82" s="45"/>
      <c r="P82" s="46"/>
      <c r="Q82" s="47"/>
      <c r="S82" s="45"/>
      <c r="T82" s="46"/>
      <c r="U82" s="47"/>
      <c r="V82" s="45"/>
      <c r="W82" s="46"/>
      <c r="X82" s="47"/>
      <c r="Y82" s="45"/>
      <c r="Z82" s="46"/>
      <c r="AA82" s="47"/>
      <c r="AB82" s="45"/>
      <c r="AC82" s="46"/>
      <c r="AD82" s="47"/>
    </row>
    <row r="83" spans="1:30" x14ac:dyDescent="0.25">
      <c r="A83" s="17" t="str">
        <f>Info!$B$14</f>
        <v>Gemma 4 26B A4B</v>
      </c>
      <c r="B83" s="33">
        <v>8</v>
      </c>
      <c r="C83" s="21">
        <f t="shared" si="1"/>
        <v>16</v>
      </c>
      <c r="D83" s="22">
        <v>18.190000000000001</v>
      </c>
      <c r="F83" s="48"/>
      <c r="G83" s="15"/>
      <c r="H83" s="49"/>
      <c r="I83" s="48"/>
      <c r="J83" s="15"/>
      <c r="K83" s="49"/>
      <c r="L83" s="48"/>
      <c r="M83" s="15"/>
      <c r="N83" s="49"/>
      <c r="O83" s="48"/>
      <c r="P83" s="15"/>
      <c r="Q83" s="49"/>
      <c r="S83" s="48"/>
      <c r="T83" s="15"/>
      <c r="U83" s="49"/>
      <c r="V83" s="48"/>
      <c r="W83" s="15"/>
      <c r="X83" s="49"/>
      <c r="Y83" s="48"/>
      <c r="Z83" s="15"/>
      <c r="AA83" s="49"/>
      <c r="AB83" s="48"/>
      <c r="AC83" s="15"/>
      <c r="AD83" s="49"/>
    </row>
    <row r="84" spans="1:30" x14ac:dyDescent="0.25">
      <c r="A84" s="17" t="str">
        <f>Info!$B$14</f>
        <v>Gemma 4 26B A4B</v>
      </c>
      <c r="B84" s="33">
        <v>20</v>
      </c>
      <c r="C84" s="21">
        <f t="shared" si="1"/>
        <v>16</v>
      </c>
      <c r="D84" s="22">
        <v>19.010000000000002</v>
      </c>
      <c r="F84" s="48"/>
      <c r="G84" s="15"/>
      <c r="H84" s="49"/>
      <c r="I84" s="48"/>
      <c r="J84" s="15"/>
      <c r="K84" s="49"/>
      <c r="L84" s="48"/>
      <c r="M84" s="15"/>
      <c r="N84" s="49"/>
      <c r="O84" s="48"/>
      <c r="P84" s="15"/>
      <c r="Q84" s="49"/>
      <c r="S84" s="48"/>
      <c r="T84" s="15"/>
      <c r="U84" s="49"/>
      <c r="V84" s="48"/>
      <c r="W84" s="15"/>
      <c r="X84" s="49"/>
      <c r="Y84" s="48"/>
      <c r="Z84" s="15"/>
      <c r="AA84" s="49"/>
      <c r="AB84" s="48"/>
      <c r="AC84" s="15"/>
      <c r="AD84" s="49"/>
    </row>
    <row r="85" spans="1:30" x14ac:dyDescent="0.25">
      <c r="A85" s="17" t="str">
        <f>Info!$B$14</f>
        <v>Gemma 4 26B A4B</v>
      </c>
      <c r="B85" s="33">
        <v>50</v>
      </c>
      <c r="C85" s="21">
        <f t="shared" ref="C85:C121" si="2">IF(D85 &lt;= 16,D85,16)</f>
        <v>16</v>
      </c>
      <c r="D85" s="22">
        <v>21.05</v>
      </c>
      <c r="F85" s="48"/>
      <c r="G85" s="15"/>
      <c r="H85" s="49"/>
      <c r="I85" s="48"/>
      <c r="J85" s="15"/>
      <c r="K85" s="49"/>
      <c r="L85" s="48"/>
      <c r="M85" s="15"/>
      <c r="N85" s="49"/>
      <c r="O85" s="48"/>
      <c r="P85" s="15"/>
      <c r="Q85" s="49"/>
      <c r="S85" s="48"/>
      <c r="T85" s="15"/>
      <c r="U85" s="49"/>
      <c r="V85" s="48"/>
      <c r="W85" s="15"/>
      <c r="X85" s="49"/>
      <c r="Y85" s="48"/>
      <c r="Z85" s="15"/>
      <c r="AA85" s="49"/>
      <c r="AB85" s="48"/>
      <c r="AC85" s="15"/>
      <c r="AD85" s="49"/>
    </row>
    <row r="86" spans="1:30" x14ac:dyDescent="0.25">
      <c r="A86" s="17" t="str">
        <f>Info!$B$14</f>
        <v>Gemma 4 26B A4B</v>
      </c>
      <c r="B86" s="33">
        <v>100</v>
      </c>
      <c r="C86" s="21">
        <f t="shared" si="2"/>
        <v>16</v>
      </c>
      <c r="D86" s="22">
        <v>24.44</v>
      </c>
      <c r="F86" s="48"/>
      <c r="G86" s="15"/>
      <c r="H86" s="49"/>
      <c r="I86" s="48"/>
      <c r="J86" s="15"/>
      <c r="K86" s="49"/>
      <c r="L86" s="48"/>
      <c r="M86" s="15"/>
      <c r="N86" s="49"/>
      <c r="O86" s="48"/>
      <c r="P86" s="15"/>
      <c r="Q86" s="49"/>
      <c r="S86" s="48"/>
      <c r="T86" s="15"/>
      <c r="U86" s="49"/>
      <c r="V86" s="48"/>
      <c r="W86" s="15"/>
      <c r="X86" s="49"/>
      <c r="Y86" s="48"/>
      <c r="Z86" s="15"/>
      <c r="AA86" s="49"/>
      <c r="AB86" s="48"/>
      <c r="AC86" s="15"/>
      <c r="AD86" s="49"/>
    </row>
    <row r="87" spans="1:30" ht="15.75" thickBot="1" x14ac:dyDescent="0.3">
      <c r="A87" s="18" t="str">
        <f>Info!$B$14</f>
        <v>Gemma 4 26B A4B</v>
      </c>
      <c r="B87" s="34">
        <v>150</v>
      </c>
      <c r="C87" s="54">
        <f t="shared" si="2"/>
        <v>16</v>
      </c>
      <c r="D87" s="23">
        <v>27.84</v>
      </c>
      <c r="F87" s="50"/>
      <c r="G87" s="51"/>
      <c r="H87" s="52"/>
      <c r="I87" s="50"/>
      <c r="J87" s="51"/>
      <c r="K87" s="52"/>
      <c r="L87" s="50"/>
      <c r="M87" s="51"/>
      <c r="N87" s="52"/>
      <c r="O87" s="50"/>
      <c r="P87" s="51"/>
      <c r="Q87" s="52"/>
      <c r="S87" s="50"/>
      <c r="T87" s="51"/>
      <c r="U87" s="52"/>
      <c r="V87" s="50"/>
      <c r="W87" s="51"/>
      <c r="X87" s="52"/>
      <c r="Y87" s="50"/>
      <c r="Z87" s="51"/>
      <c r="AA87" s="52"/>
      <c r="AB87" s="50"/>
      <c r="AC87" s="51"/>
      <c r="AD87" s="52"/>
    </row>
    <row r="88" spans="1:30" ht="5.0999999999999996" customHeight="1" thickBot="1" x14ac:dyDescent="0.3">
      <c r="C88" s="56"/>
    </row>
    <row r="89" spans="1:30" x14ac:dyDescent="0.25">
      <c r="A89" s="16" t="str">
        <f>Info!$B$15</f>
        <v>Qwen3 Coder 30B</v>
      </c>
      <c r="B89" s="32">
        <v>4</v>
      </c>
      <c r="C89" s="55">
        <f t="shared" si="2"/>
        <v>16</v>
      </c>
      <c r="D89" s="20">
        <v>18.37</v>
      </c>
      <c r="F89" s="45"/>
      <c r="G89" s="46"/>
      <c r="H89" s="47"/>
      <c r="I89" s="45"/>
      <c r="J89" s="46"/>
      <c r="K89" s="47"/>
      <c r="L89" s="45"/>
      <c r="M89" s="46"/>
      <c r="N89" s="47"/>
      <c r="O89" s="45"/>
      <c r="P89" s="46"/>
      <c r="Q89" s="47"/>
      <c r="S89" s="45"/>
      <c r="T89" s="46"/>
      <c r="U89" s="47"/>
      <c r="V89" s="45"/>
      <c r="W89" s="46"/>
      <c r="X89" s="47"/>
      <c r="Y89" s="45"/>
      <c r="Z89" s="46"/>
      <c r="AA89" s="47"/>
      <c r="AB89" s="45"/>
      <c r="AC89" s="46"/>
      <c r="AD89" s="47"/>
    </row>
    <row r="90" spans="1:30" x14ac:dyDescent="0.25">
      <c r="A90" s="17" t="str">
        <f>Info!$B$15</f>
        <v>Qwen3 Coder 30B</v>
      </c>
      <c r="B90" s="33">
        <v>8</v>
      </c>
      <c r="C90" s="21">
        <f t="shared" si="2"/>
        <v>16</v>
      </c>
      <c r="D90" s="22">
        <v>18.46</v>
      </c>
      <c r="F90" s="48"/>
      <c r="G90" s="15"/>
      <c r="H90" s="49"/>
      <c r="I90" s="48"/>
      <c r="J90" s="15"/>
      <c r="K90" s="49"/>
      <c r="L90" s="48"/>
      <c r="M90" s="15"/>
      <c r="N90" s="49"/>
      <c r="O90" s="48"/>
      <c r="P90" s="15"/>
      <c r="Q90" s="49"/>
      <c r="S90" s="48"/>
      <c r="T90" s="15"/>
      <c r="U90" s="49"/>
      <c r="V90" s="48"/>
      <c r="W90" s="15"/>
      <c r="X90" s="49"/>
      <c r="Y90" s="48"/>
      <c r="Z90" s="15"/>
      <c r="AA90" s="49"/>
      <c r="AB90" s="48"/>
      <c r="AC90" s="15"/>
      <c r="AD90" s="49"/>
    </row>
    <row r="91" spans="1:30" x14ac:dyDescent="0.25">
      <c r="A91" s="17" t="str">
        <f>Info!$B$15</f>
        <v>Qwen3 Coder 30B</v>
      </c>
      <c r="B91" s="33">
        <v>20</v>
      </c>
      <c r="C91" s="21">
        <f t="shared" si="2"/>
        <v>16</v>
      </c>
      <c r="D91" s="22">
        <v>18.73</v>
      </c>
      <c r="F91" s="48"/>
      <c r="G91" s="15"/>
      <c r="H91" s="49"/>
      <c r="I91" s="48"/>
      <c r="J91" s="15"/>
      <c r="K91" s="49"/>
      <c r="L91" s="48"/>
      <c r="M91" s="15"/>
      <c r="N91" s="49"/>
      <c r="O91" s="48"/>
      <c r="P91" s="15"/>
      <c r="Q91" s="49"/>
      <c r="S91" s="48"/>
      <c r="T91" s="15"/>
      <c r="U91" s="49"/>
      <c r="V91" s="48"/>
      <c r="W91" s="15"/>
      <c r="X91" s="49"/>
      <c r="Y91" s="48"/>
      <c r="Z91" s="15"/>
      <c r="AA91" s="49"/>
      <c r="AB91" s="48"/>
      <c r="AC91" s="15"/>
      <c r="AD91" s="49"/>
    </row>
    <row r="92" spans="1:30" x14ac:dyDescent="0.25">
      <c r="A92" s="17" t="str">
        <f>Info!$B$15</f>
        <v>Qwen3 Coder 30B</v>
      </c>
      <c r="B92" s="33">
        <v>50</v>
      </c>
      <c r="C92" s="21">
        <f t="shared" si="2"/>
        <v>16</v>
      </c>
      <c r="D92" s="22">
        <v>19.420000000000002</v>
      </c>
      <c r="F92" s="48"/>
      <c r="G92" s="15"/>
      <c r="H92" s="49"/>
      <c r="I92" s="48"/>
      <c r="J92" s="15"/>
      <c r="K92" s="49"/>
      <c r="L92" s="48"/>
      <c r="M92" s="15"/>
      <c r="N92" s="49"/>
      <c r="O92" s="48"/>
      <c r="P92" s="15"/>
      <c r="Q92" s="49"/>
      <c r="S92" s="48"/>
      <c r="T92" s="15"/>
      <c r="U92" s="49"/>
      <c r="V92" s="48"/>
      <c r="W92" s="15"/>
      <c r="X92" s="49"/>
      <c r="Y92" s="48"/>
      <c r="Z92" s="15"/>
      <c r="AA92" s="49"/>
      <c r="AB92" s="48"/>
      <c r="AC92" s="15"/>
      <c r="AD92" s="49"/>
    </row>
    <row r="93" spans="1:30" x14ac:dyDescent="0.25">
      <c r="A93" s="17" t="str">
        <f>Info!$B$15</f>
        <v>Qwen3 Coder 30B</v>
      </c>
      <c r="B93" s="33">
        <v>100</v>
      </c>
      <c r="C93" s="21">
        <f t="shared" si="2"/>
        <v>16</v>
      </c>
      <c r="D93" s="22">
        <v>20.55</v>
      </c>
      <c r="F93" s="48"/>
      <c r="G93" s="15"/>
      <c r="H93" s="49"/>
      <c r="I93" s="48"/>
      <c r="J93" s="15"/>
      <c r="K93" s="49"/>
      <c r="L93" s="48"/>
      <c r="M93" s="15"/>
      <c r="N93" s="49"/>
      <c r="O93" s="48"/>
      <c r="P93" s="15"/>
      <c r="Q93" s="49"/>
      <c r="S93" s="48"/>
      <c r="T93" s="15"/>
      <c r="U93" s="49"/>
      <c r="V93" s="48"/>
      <c r="W93" s="15"/>
      <c r="X93" s="49"/>
      <c r="Y93" s="48"/>
      <c r="Z93" s="15"/>
      <c r="AA93" s="49"/>
      <c r="AB93" s="48"/>
      <c r="AC93" s="15"/>
      <c r="AD93" s="49"/>
    </row>
    <row r="94" spans="1:30" ht="15.75" thickBot="1" x14ac:dyDescent="0.3">
      <c r="A94" s="18" t="str">
        <f>Info!$B$15</f>
        <v>Qwen3 Coder 30B</v>
      </c>
      <c r="B94" s="34">
        <v>150</v>
      </c>
      <c r="C94" s="54">
        <f t="shared" si="2"/>
        <v>16</v>
      </c>
      <c r="D94" s="23">
        <v>21.69</v>
      </c>
      <c r="F94" s="50"/>
      <c r="G94" s="51"/>
      <c r="H94" s="52"/>
      <c r="I94" s="50"/>
      <c r="J94" s="51"/>
      <c r="K94" s="52"/>
      <c r="L94" s="50"/>
      <c r="M94" s="51"/>
      <c r="N94" s="52"/>
      <c r="O94" s="50"/>
      <c r="P94" s="51"/>
      <c r="Q94" s="52"/>
      <c r="S94" s="50"/>
      <c r="T94" s="51"/>
      <c r="U94" s="52"/>
      <c r="V94" s="50"/>
      <c r="W94" s="51"/>
      <c r="X94" s="52"/>
      <c r="Y94" s="50"/>
      <c r="Z94" s="51"/>
      <c r="AA94" s="52"/>
      <c r="AB94" s="50"/>
      <c r="AC94" s="51"/>
      <c r="AD94" s="52"/>
    </row>
    <row r="95" spans="1:30" ht="5.0999999999999996" customHeight="1" thickBot="1" x14ac:dyDescent="0.3">
      <c r="C95" s="56"/>
    </row>
    <row r="96" spans="1:30" x14ac:dyDescent="0.25">
      <c r="A96" s="16" t="str">
        <f>Info!$B$16</f>
        <v>Qwen3.5 35B A3B</v>
      </c>
      <c r="B96" s="32">
        <v>4</v>
      </c>
      <c r="C96" s="55">
        <f t="shared" si="2"/>
        <v>16</v>
      </c>
      <c r="D96" s="20">
        <v>21.73</v>
      </c>
      <c r="F96" s="45"/>
      <c r="G96" s="46"/>
      <c r="H96" s="47"/>
      <c r="I96" s="45"/>
      <c r="J96" s="46"/>
      <c r="K96" s="47"/>
      <c r="L96" s="45"/>
      <c r="M96" s="46"/>
      <c r="N96" s="47"/>
      <c r="O96" s="45"/>
      <c r="P96" s="46"/>
      <c r="Q96" s="47"/>
      <c r="S96" s="45"/>
      <c r="T96" s="46"/>
      <c r="U96" s="47"/>
      <c r="V96" s="45"/>
      <c r="W96" s="46"/>
      <c r="X96" s="47"/>
      <c r="Y96" s="45"/>
      <c r="Z96" s="46"/>
      <c r="AA96" s="47"/>
      <c r="AB96" s="45"/>
      <c r="AC96" s="46"/>
      <c r="AD96" s="47"/>
    </row>
    <row r="97" spans="1:30" x14ac:dyDescent="0.25">
      <c r="A97" s="17" t="str">
        <f>Info!$B$16</f>
        <v>Qwen3.5 35B A3B</v>
      </c>
      <c r="B97" s="33">
        <v>8</v>
      </c>
      <c r="C97" s="21">
        <f t="shared" si="2"/>
        <v>16</v>
      </c>
      <c r="D97" s="22">
        <v>21.81</v>
      </c>
      <c r="F97" s="48"/>
      <c r="G97" s="15"/>
      <c r="H97" s="49"/>
      <c r="I97" s="48"/>
      <c r="J97" s="15"/>
      <c r="K97" s="49"/>
      <c r="L97" s="48"/>
      <c r="M97" s="15"/>
      <c r="N97" s="49"/>
      <c r="O97" s="48"/>
      <c r="P97" s="15"/>
      <c r="Q97" s="49"/>
      <c r="S97" s="48"/>
      <c r="T97" s="15"/>
      <c r="U97" s="49"/>
      <c r="V97" s="48"/>
      <c r="W97" s="15"/>
      <c r="X97" s="49"/>
      <c r="Y97" s="48"/>
      <c r="Z97" s="15"/>
      <c r="AA97" s="49"/>
      <c r="AB97" s="48"/>
      <c r="AC97" s="15"/>
      <c r="AD97" s="49"/>
    </row>
    <row r="98" spans="1:30" x14ac:dyDescent="0.25">
      <c r="A98" s="17" t="str">
        <f>Info!$B$16</f>
        <v>Qwen3.5 35B A3B</v>
      </c>
      <c r="B98" s="33">
        <v>20</v>
      </c>
      <c r="C98" s="21">
        <f t="shared" si="2"/>
        <v>16</v>
      </c>
      <c r="D98" s="22">
        <v>22.03</v>
      </c>
      <c r="F98" s="48"/>
      <c r="G98" s="15"/>
      <c r="H98" s="49"/>
      <c r="I98" s="48"/>
      <c r="J98" s="15"/>
      <c r="K98" s="49"/>
      <c r="L98" s="48"/>
      <c r="M98" s="15"/>
      <c r="N98" s="49"/>
      <c r="O98" s="48"/>
      <c r="P98" s="15"/>
      <c r="Q98" s="49"/>
      <c r="S98" s="48"/>
      <c r="T98" s="15"/>
      <c r="U98" s="49"/>
      <c r="V98" s="48"/>
      <c r="W98" s="15"/>
      <c r="X98" s="49"/>
      <c r="Y98" s="48"/>
      <c r="Z98" s="15"/>
      <c r="AA98" s="49"/>
      <c r="AB98" s="48"/>
      <c r="AC98" s="15"/>
      <c r="AD98" s="49"/>
    </row>
    <row r="99" spans="1:30" x14ac:dyDescent="0.25">
      <c r="A99" s="17" t="str">
        <f>Info!$B$16</f>
        <v>Qwen3.5 35B A3B</v>
      </c>
      <c r="B99" s="33">
        <v>50</v>
      </c>
      <c r="C99" s="21">
        <f t="shared" si="2"/>
        <v>16</v>
      </c>
      <c r="D99" s="22">
        <v>22.6</v>
      </c>
      <c r="F99" s="48"/>
      <c r="G99" s="15"/>
      <c r="H99" s="49"/>
      <c r="I99" s="48"/>
      <c r="J99" s="15"/>
      <c r="K99" s="49"/>
      <c r="L99" s="48"/>
      <c r="M99" s="15"/>
      <c r="N99" s="49"/>
      <c r="O99" s="48"/>
      <c r="P99" s="15"/>
      <c r="Q99" s="49"/>
      <c r="S99" s="48"/>
      <c r="T99" s="15"/>
      <c r="U99" s="49"/>
      <c r="V99" s="48"/>
      <c r="W99" s="15"/>
      <c r="X99" s="49"/>
      <c r="Y99" s="48"/>
      <c r="Z99" s="15"/>
      <c r="AA99" s="49"/>
      <c r="AB99" s="48"/>
      <c r="AC99" s="15"/>
      <c r="AD99" s="49"/>
    </row>
    <row r="100" spans="1:30" x14ac:dyDescent="0.25">
      <c r="A100" s="17" t="str">
        <f>Info!$B$16</f>
        <v>Qwen3.5 35B A3B</v>
      </c>
      <c r="B100" s="33">
        <v>100</v>
      </c>
      <c r="C100" s="21">
        <f t="shared" si="2"/>
        <v>16</v>
      </c>
      <c r="D100" s="22">
        <v>23.55</v>
      </c>
      <c r="F100" s="48"/>
      <c r="G100" s="15"/>
      <c r="H100" s="49"/>
      <c r="I100" s="48"/>
      <c r="J100" s="15"/>
      <c r="K100" s="49"/>
      <c r="L100" s="48"/>
      <c r="M100" s="15"/>
      <c r="N100" s="49"/>
      <c r="O100" s="48"/>
      <c r="P100" s="15"/>
      <c r="Q100" s="49"/>
      <c r="S100" s="48"/>
      <c r="T100" s="15"/>
      <c r="U100" s="49"/>
      <c r="V100" s="48"/>
      <c r="W100" s="15"/>
      <c r="X100" s="49"/>
      <c r="Y100" s="48"/>
      <c r="Z100" s="15"/>
      <c r="AA100" s="49"/>
      <c r="AB100" s="48"/>
      <c r="AC100" s="15"/>
      <c r="AD100" s="49"/>
    </row>
    <row r="101" spans="1:30" ht="15.75" thickBot="1" x14ac:dyDescent="0.3">
      <c r="A101" s="18" t="str">
        <f>Info!$B$16</f>
        <v>Qwen3.5 35B A3B</v>
      </c>
      <c r="B101" s="34">
        <v>150</v>
      </c>
      <c r="C101" s="54">
        <f t="shared" si="2"/>
        <v>16</v>
      </c>
      <c r="D101" s="23">
        <v>24.5</v>
      </c>
      <c r="F101" s="50"/>
      <c r="G101" s="51"/>
      <c r="H101" s="52"/>
      <c r="I101" s="50"/>
      <c r="J101" s="51"/>
      <c r="K101" s="52"/>
      <c r="L101" s="50"/>
      <c r="M101" s="51"/>
      <c r="N101" s="52"/>
      <c r="O101" s="50"/>
      <c r="P101" s="51"/>
      <c r="Q101" s="52"/>
      <c r="S101" s="50"/>
      <c r="T101" s="51"/>
      <c r="U101" s="52"/>
      <c r="V101" s="50"/>
      <c r="W101" s="51"/>
      <c r="X101" s="52"/>
      <c r="Y101" s="50"/>
      <c r="Z101" s="51"/>
      <c r="AA101" s="52"/>
      <c r="AB101" s="50"/>
      <c r="AC101" s="51"/>
      <c r="AD101" s="52"/>
    </row>
    <row r="102" spans="1:30" ht="5.0999999999999996" customHeight="1" thickBot="1" x14ac:dyDescent="0.3">
      <c r="C102" s="56"/>
    </row>
    <row r="103" spans="1:30" x14ac:dyDescent="0.25">
      <c r="A103" s="16" t="str">
        <f>Info!$B$17</f>
        <v>Llama 2 70B Chat</v>
      </c>
      <c r="B103" s="32">
        <v>4</v>
      </c>
      <c r="C103" s="55">
        <f t="shared" si="2"/>
        <v>16</v>
      </c>
      <c r="D103" s="20">
        <v>41.26</v>
      </c>
      <c r="F103" s="45"/>
      <c r="G103" s="46"/>
      <c r="H103" s="47"/>
      <c r="I103" s="45"/>
      <c r="J103" s="46"/>
      <c r="K103" s="47"/>
      <c r="L103" s="45"/>
      <c r="M103" s="46"/>
      <c r="N103" s="47"/>
      <c r="O103" s="45"/>
      <c r="P103" s="46"/>
      <c r="Q103" s="47"/>
      <c r="S103" s="45"/>
      <c r="T103" s="46"/>
      <c r="U103" s="47"/>
      <c r="V103" s="45"/>
      <c r="W103" s="46"/>
      <c r="X103" s="47"/>
      <c r="Y103" s="45"/>
      <c r="Z103" s="46"/>
      <c r="AA103" s="47"/>
      <c r="AB103" s="45"/>
      <c r="AC103" s="46"/>
      <c r="AD103" s="47"/>
    </row>
    <row r="104" spans="1:30" x14ac:dyDescent="0.25">
      <c r="A104" s="17" t="str">
        <f>Info!$B$17</f>
        <v>Llama 2 70B Chat</v>
      </c>
      <c r="B104" s="33">
        <v>8</v>
      </c>
      <c r="C104" s="21" t="s">
        <v>75</v>
      </c>
      <c r="D104" s="22" t="s">
        <v>75</v>
      </c>
      <c r="F104" s="48"/>
      <c r="G104" s="15"/>
      <c r="H104" s="49"/>
      <c r="I104" s="48"/>
      <c r="J104" s="15"/>
      <c r="K104" s="49"/>
      <c r="L104" s="48"/>
      <c r="M104" s="15"/>
      <c r="N104" s="49"/>
      <c r="O104" s="48"/>
      <c r="P104" s="15"/>
      <c r="Q104" s="49"/>
      <c r="S104" s="48"/>
      <c r="T104" s="15"/>
      <c r="U104" s="49"/>
      <c r="V104" s="48"/>
      <c r="W104" s="15"/>
      <c r="X104" s="49"/>
      <c r="Y104" s="48"/>
      <c r="Z104" s="15"/>
      <c r="AA104" s="49"/>
      <c r="AB104" s="48"/>
      <c r="AC104" s="15"/>
      <c r="AD104" s="49"/>
    </row>
    <row r="105" spans="1:30" x14ac:dyDescent="0.25">
      <c r="A105" s="17" t="str">
        <f>Info!$B$17</f>
        <v>Llama 2 70B Chat</v>
      </c>
      <c r="B105" s="33">
        <v>20</v>
      </c>
      <c r="C105" s="21" t="s">
        <v>75</v>
      </c>
      <c r="D105" s="22" t="s">
        <v>75</v>
      </c>
      <c r="F105" s="48"/>
      <c r="G105" s="15"/>
      <c r="H105" s="49"/>
      <c r="I105" s="48"/>
      <c r="J105" s="15"/>
      <c r="K105" s="49"/>
      <c r="L105" s="48"/>
      <c r="M105" s="15"/>
      <c r="N105" s="49"/>
      <c r="O105" s="48"/>
      <c r="P105" s="15"/>
      <c r="Q105" s="49"/>
      <c r="S105" s="48"/>
      <c r="T105" s="15"/>
      <c r="U105" s="49"/>
      <c r="V105" s="48"/>
      <c r="W105" s="15"/>
      <c r="X105" s="49"/>
      <c r="Y105" s="48"/>
      <c r="Z105" s="15"/>
      <c r="AA105" s="49"/>
      <c r="AB105" s="48"/>
      <c r="AC105" s="15"/>
      <c r="AD105" s="49"/>
    </row>
    <row r="106" spans="1:30" x14ac:dyDescent="0.25">
      <c r="A106" s="17" t="str">
        <f>Info!$B$17</f>
        <v>Llama 2 70B Chat</v>
      </c>
      <c r="B106" s="33">
        <v>50</v>
      </c>
      <c r="C106" s="21" t="s">
        <v>75</v>
      </c>
      <c r="D106" s="22" t="s">
        <v>75</v>
      </c>
      <c r="F106" s="48"/>
      <c r="G106" s="15"/>
      <c r="H106" s="49"/>
      <c r="I106" s="48"/>
      <c r="J106" s="15"/>
      <c r="K106" s="49"/>
      <c r="L106" s="48"/>
      <c r="M106" s="15"/>
      <c r="N106" s="49"/>
      <c r="O106" s="48"/>
      <c r="P106" s="15"/>
      <c r="Q106" s="49"/>
      <c r="S106" s="48"/>
      <c r="T106" s="15"/>
      <c r="U106" s="49"/>
      <c r="V106" s="48"/>
      <c r="W106" s="15"/>
      <c r="X106" s="49"/>
      <c r="Y106" s="48"/>
      <c r="Z106" s="15"/>
      <c r="AA106" s="49"/>
      <c r="AB106" s="48"/>
      <c r="AC106" s="15"/>
      <c r="AD106" s="49"/>
    </row>
    <row r="107" spans="1:30" x14ac:dyDescent="0.25">
      <c r="A107" s="17" t="str">
        <f>Info!$B$17</f>
        <v>Llama 2 70B Chat</v>
      </c>
      <c r="B107" s="33">
        <v>100</v>
      </c>
      <c r="C107" s="21" t="s">
        <v>75</v>
      </c>
      <c r="D107" s="22" t="s">
        <v>75</v>
      </c>
      <c r="F107" s="48"/>
      <c r="G107" s="15"/>
      <c r="H107" s="49"/>
      <c r="I107" s="48"/>
      <c r="J107" s="15"/>
      <c r="K107" s="49"/>
      <c r="L107" s="48"/>
      <c r="M107" s="15"/>
      <c r="N107" s="49"/>
      <c r="O107" s="48"/>
      <c r="P107" s="15"/>
      <c r="Q107" s="49"/>
      <c r="S107" s="48"/>
      <c r="T107" s="15"/>
      <c r="U107" s="49"/>
      <c r="V107" s="48"/>
      <c r="W107" s="15"/>
      <c r="X107" s="49"/>
      <c r="Y107" s="48"/>
      <c r="Z107" s="15"/>
      <c r="AA107" s="49"/>
      <c r="AB107" s="48"/>
      <c r="AC107" s="15"/>
      <c r="AD107" s="49"/>
    </row>
    <row r="108" spans="1:30" ht="15.75" thickBot="1" x14ac:dyDescent="0.3">
      <c r="A108" s="18" t="str">
        <f>Info!$B$17</f>
        <v>Llama 2 70B Chat</v>
      </c>
      <c r="B108" s="34">
        <v>150</v>
      </c>
      <c r="C108" s="54" t="s">
        <v>75</v>
      </c>
      <c r="D108" s="23" t="s">
        <v>75</v>
      </c>
      <c r="F108" s="50"/>
      <c r="G108" s="51"/>
      <c r="H108" s="52"/>
      <c r="I108" s="50"/>
      <c r="J108" s="51"/>
      <c r="K108" s="52"/>
      <c r="L108" s="50"/>
      <c r="M108" s="51"/>
      <c r="N108" s="52"/>
      <c r="O108" s="50"/>
      <c r="P108" s="51"/>
      <c r="Q108" s="52"/>
      <c r="S108" s="50"/>
      <c r="T108" s="51"/>
      <c r="U108" s="52"/>
      <c r="V108" s="50"/>
      <c r="W108" s="51"/>
      <c r="X108" s="52"/>
      <c r="Y108" s="50"/>
      <c r="Z108" s="51"/>
      <c r="AA108" s="52"/>
      <c r="AB108" s="50"/>
      <c r="AC108" s="51"/>
      <c r="AD108" s="52"/>
    </row>
    <row r="109" spans="1:30" ht="5.0999999999999996" customHeight="1" thickBot="1" x14ac:dyDescent="0.3">
      <c r="C109" s="56"/>
    </row>
    <row r="110" spans="1:30" x14ac:dyDescent="0.25">
      <c r="A110" s="16" t="str">
        <f>Info!$B$18</f>
        <v>Qwen3 Coder Next</v>
      </c>
      <c r="B110" s="32">
        <v>4</v>
      </c>
      <c r="C110" s="55">
        <f t="shared" si="2"/>
        <v>16</v>
      </c>
      <c r="D110" s="20">
        <v>47.66</v>
      </c>
      <c r="F110" s="45"/>
      <c r="G110" s="46"/>
      <c r="H110" s="47"/>
      <c r="I110" s="45"/>
      <c r="J110" s="46"/>
      <c r="K110" s="47"/>
      <c r="L110" s="45"/>
      <c r="M110" s="46"/>
      <c r="N110" s="47"/>
      <c r="O110" s="45"/>
      <c r="P110" s="46"/>
      <c r="Q110" s="47"/>
      <c r="S110" s="45"/>
      <c r="T110" s="46"/>
      <c r="U110" s="47"/>
      <c r="V110" s="45"/>
      <c r="W110" s="46"/>
      <c r="X110" s="47"/>
      <c r="Y110" s="45"/>
      <c r="Z110" s="46"/>
      <c r="AA110" s="47"/>
      <c r="AB110" s="45"/>
      <c r="AC110" s="46"/>
      <c r="AD110" s="47"/>
    </row>
    <row r="111" spans="1:30" x14ac:dyDescent="0.25">
      <c r="A111" s="17" t="str">
        <f>Info!$B$18</f>
        <v>Qwen3 Coder Next</v>
      </c>
      <c r="B111" s="33">
        <v>8</v>
      </c>
      <c r="C111" s="21">
        <f t="shared" si="2"/>
        <v>16</v>
      </c>
      <c r="D111" s="22">
        <v>47.75</v>
      </c>
      <c r="F111" s="48"/>
      <c r="G111" s="15"/>
      <c r="H111" s="49"/>
      <c r="I111" s="48"/>
      <c r="J111" s="15"/>
      <c r="K111" s="49"/>
      <c r="L111" s="48"/>
      <c r="M111" s="15"/>
      <c r="N111" s="49"/>
      <c r="O111" s="48"/>
      <c r="P111" s="15"/>
      <c r="Q111" s="49"/>
      <c r="S111" s="48"/>
      <c r="T111" s="15"/>
      <c r="U111" s="49"/>
      <c r="V111" s="48"/>
      <c r="W111" s="15"/>
      <c r="X111" s="49"/>
      <c r="Y111" s="48"/>
      <c r="Z111" s="15"/>
      <c r="AA111" s="49"/>
      <c r="AB111" s="48"/>
      <c r="AC111" s="15"/>
      <c r="AD111" s="49"/>
    </row>
    <row r="112" spans="1:30" x14ac:dyDescent="0.25">
      <c r="A112" s="17" t="str">
        <f>Info!$B$18</f>
        <v>Qwen3 Coder Next</v>
      </c>
      <c r="B112" s="33">
        <v>20</v>
      </c>
      <c r="C112" s="21">
        <f t="shared" si="2"/>
        <v>16</v>
      </c>
      <c r="D112" s="22">
        <v>48.02</v>
      </c>
      <c r="F112" s="48"/>
      <c r="G112" s="15"/>
      <c r="H112" s="49"/>
      <c r="I112" s="48"/>
      <c r="J112" s="15"/>
      <c r="K112" s="49"/>
      <c r="L112" s="48"/>
      <c r="M112" s="15"/>
      <c r="N112" s="49"/>
      <c r="O112" s="48"/>
      <c r="P112" s="15"/>
      <c r="Q112" s="49"/>
      <c r="S112" s="48"/>
      <c r="T112" s="15"/>
      <c r="U112" s="49"/>
      <c r="V112" s="48"/>
      <c r="W112" s="15"/>
      <c r="X112" s="49"/>
      <c r="Y112" s="48"/>
      <c r="Z112" s="15"/>
      <c r="AA112" s="49"/>
      <c r="AB112" s="48"/>
      <c r="AC112" s="15"/>
      <c r="AD112" s="49"/>
    </row>
    <row r="113" spans="1:30" x14ac:dyDescent="0.25">
      <c r="A113" s="17" t="str">
        <f>Info!$B$18</f>
        <v>Qwen3 Coder Next</v>
      </c>
      <c r="B113" s="33">
        <v>50</v>
      </c>
      <c r="C113" s="21">
        <f t="shared" si="2"/>
        <v>16</v>
      </c>
      <c r="D113" s="22">
        <v>48.71</v>
      </c>
      <c r="F113" s="48"/>
      <c r="G113" s="15"/>
      <c r="H113" s="49"/>
      <c r="I113" s="48"/>
      <c r="J113" s="15"/>
      <c r="K113" s="49"/>
      <c r="L113" s="48"/>
      <c r="M113" s="15"/>
      <c r="N113" s="49"/>
      <c r="O113" s="48"/>
      <c r="P113" s="15"/>
      <c r="Q113" s="49"/>
      <c r="S113" s="48"/>
      <c r="T113" s="15"/>
      <c r="U113" s="49"/>
      <c r="V113" s="48"/>
      <c r="W113" s="15"/>
      <c r="X113" s="49"/>
      <c r="Y113" s="48"/>
      <c r="Z113" s="15"/>
      <c r="AA113" s="49"/>
      <c r="AB113" s="48"/>
      <c r="AC113" s="15"/>
      <c r="AD113" s="49"/>
    </row>
    <row r="114" spans="1:30" x14ac:dyDescent="0.25">
      <c r="A114" s="17" t="str">
        <f>Info!$B$18</f>
        <v>Qwen3 Coder Next</v>
      </c>
      <c r="B114" s="33">
        <v>100</v>
      </c>
      <c r="C114" s="21">
        <f t="shared" si="2"/>
        <v>16</v>
      </c>
      <c r="D114" s="22">
        <v>49.84</v>
      </c>
      <c r="F114" s="48"/>
      <c r="G114" s="15"/>
      <c r="H114" s="49"/>
      <c r="I114" s="48"/>
      <c r="J114" s="15"/>
      <c r="K114" s="49"/>
      <c r="L114" s="48"/>
      <c r="M114" s="15"/>
      <c r="N114" s="49"/>
      <c r="O114" s="48"/>
      <c r="P114" s="15"/>
      <c r="Q114" s="49"/>
      <c r="S114" s="48"/>
      <c r="T114" s="15"/>
      <c r="U114" s="49"/>
      <c r="V114" s="48"/>
      <c r="W114" s="15"/>
      <c r="X114" s="49"/>
      <c r="Y114" s="48"/>
      <c r="Z114" s="15"/>
      <c r="AA114" s="49"/>
      <c r="AB114" s="48"/>
      <c r="AC114" s="15"/>
      <c r="AD114" s="49"/>
    </row>
    <row r="115" spans="1:30" ht="15.75" thickBot="1" x14ac:dyDescent="0.3">
      <c r="A115" s="18" t="str">
        <f>Info!$B$18</f>
        <v>Qwen3 Coder Next</v>
      </c>
      <c r="B115" s="34">
        <v>150</v>
      </c>
      <c r="C115" s="54">
        <f t="shared" si="2"/>
        <v>16</v>
      </c>
      <c r="D115" s="23">
        <v>50.98</v>
      </c>
      <c r="F115" s="50"/>
      <c r="G115" s="51"/>
      <c r="H115" s="52"/>
      <c r="I115" s="50"/>
      <c r="J115" s="51"/>
      <c r="K115" s="52"/>
      <c r="L115" s="50"/>
      <c r="M115" s="51"/>
      <c r="N115" s="52"/>
      <c r="O115" s="50"/>
      <c r="P115" s="51"/>
      <c r="Q115" s="52"/>
      <c r="S115" s="50"/>
      <c r="T115" s="51"/>
      <c r="U115" s="52"/>
      <c r="V115" s="50"/>
      <c r="W115" s="51"/>
      <c r="X115" s="52"/>
      <c r="Y115" s="50"/>
      <c r="Z115" s="51"/>
      <c r="AA115" s="52"/>
      <c r="AB115" s="50"/>
      <c r="AC115" s="51"/>
      <c r="AD115" s="52"/>
    </row>
    <row r="116" spans="1:30" ht="5.0999999999999996" customHeight="1" thickBot="1" x14ac:dyDescent="0.3">
      <c r="C116" s="56"/>
    </row>
    <row r="117" spans="1:30" x14ac:dyDescent="0.25">
      <c r="A117" s="16" t="str">
        <f>Info!$B$19</f>
        <v>GPT-OSS 120B</v>
      </c>
      <c r="B117" s="32">
        <v>4</v>
      </c>
      <c r="C117" s="55">
        <f t="shared" si="2"/>
        <v>16</v>
      </c>
      <c r="D117" s="20">
        <v>62.29</v>
      </c>
      <c r="F117" s="45"/>
      <c r="G117" s="46"/>
      <c r="H117" s="47"/>
      <c r="I117" s="45"/>
      <c r="J117" s="46"/>
      <c r="K117" s="47"/>
      <c r="L117" s="45"/>
      <c r="M117" s="46"/>
      <c r="N117" s="47"/>
      <c r="O117" s="45"/>
      <c r="P117" s="46"/>
      <c r="Q117" s="47"/>
      <c r="S117" s="45"/>
      <c r="T117" s="46"/>
      <c r="U117" s="47"/>
      <c r="V117" s="45"/>
      <c r="W117" s="46"/>
      <c r="X117" s="47"/>
      <c r="Y117" s="45"/>
      <c r="Z117" s="46"/>
      <c r="AA117" s="47"/>
      <c r="AB117" s="45"/>
      <c r="AC117" s="46"/>
      <c r="AD117" s="47"/>
    </row>
    <row r="118" spans="1:30" x14ac:dyDescent="0.25">
      <c r="A118" s="17" t="str">
        <f>Info!$B$19</f>
        <v>GPT-OSS 120B</v>
      </c>
      <c r="B118" s="33">
        <v>8</v>
      </c>
      <c r="C118" s="21">
        <f t="shared" si="2"/>
        <v>16</v>
      </c>
      <c r="D118" s="22">
        <v>62.38</v>
      </c>
      <c r="F118" s="48"/>
      <c r="G118" s="15"/>
      <c r="H118" s="49"/>
      <c r="I118" s="48"/>
      <c r="J118" s="15"/>
      <c r="K118" s="49"/>
      <c r="L118" s="48"/>
      <c r="M118" s="15"/>
      <c r="N118" s="49"/>
      <c r="O118" s="48"/>
      <c r="P118" s="15"/>
      <c r="Q118" s="49"/>
      <c r="S118" s="48"/>
      <c r="T118" s="15"/>
      <c r="U118" s="49"/>
      <c r="V118" s="48"/>
      <c r="W118" s="15"/>
      <c r="X118" s="49"/>
      <c r="Y118" s="48"/>
      <c r="Z118" s="15"/>
      <c r="AA118" s="49"/>
      <c r="AB118" s="48"/>
      <c r="AC118" s="15"/>
      <c r="AD118" s="49"/>
    </row>
    <row r="119" spans="1:30" x14ac:dyDescent="0.25">
      <c r="A119" s="17" t="str">
        <f>Info!$B$19</f>
        <v>GPT-OSS 120B</v>
      </c>
      <c r="B119" s="33">
        <v>20</v>
      </c>
      <c r="C119" s="21">
        <f t="shared" si="2"/>
        <v>16</v>
      </c>
      <c r="D119" s="22">
        <v>62.67</v>
      </c>
      <c r="F119" s="48"/>
      <c r="G119" s="15"/>
      <c r="H119" s="49"/>
      <c r="I119" s="48"/>
      <c r="J119" s="15"/>
      <c r="K119" s="49"/>
      <c r="L119" s="48"/>
      <c r="M119" s="15"/>
      <c r="N119" s="49"/>
      <c r="O119" s="48"/>
      <c r="P119" s="15"/>
      <c r="Q119" s="49"/>
      <c r="S119" s="48"/>
      <c r="T119" s="15"/>
      <c r="U119" s="49"/>
      <c r="V119" s="48"/>
      <c r="W119" s="15"/>
      <c r="X119" s="49"/>
      <c r="Y119" s="48"/>
      <c r="Z119" s="15"/>
      <c r="AA119" s="49"/>
      <c r="AB119" s="48"/>
      <c r="AC119" s="15"/>
      <c r="AD119" s="49"/>
    </row>
    <row r="120" spans="1:30" x14ac:dyDescent="0.25">
      <c r="A120" s="17" t="str">
        <f>Info!$B$19</f>
        <v>GPT-OSS 120B</v>
      </c>
      <c r="B120" s="33">
        <v>50</v>
      </c>
      <c r="C120" s="21">
        <f t="shared" si="2"/>
        <v>16</v>
      </c>
      <c r="D120" s="22">
        <v>63.39</v>
      </c>
      <c r="F120" s="48"/>
      <c r="G120" s="15"/>
      <c r="H120" s="49"/>
      <c r="I120" s="48"/>
      <c r="J120" s="15"/>
      <c r="K120" s="49"/>
      <c r="L120" s="48"/>
      <c r="M120" s="15"/>
      <c r="N120" s="49"/>
      <c r="O120" s="48"/>
      <c r="P120" s="15"/>
      <c r="Q120" s="49"/>
      <c r="S120" s="48"/>
      <c r="T120" s="15"/>
      <c r="U120" s="49"/>
      <c r="V120" s="48"/>
      <c r="W120" s="15"/>
      <c r="X120" s="49"/>
      <c r="Y120" s="48"/>
      <c r="Z120" s="15"/>
      <c r="AA120" s="49"/>
      <c r="AB120" s="48"/>
      <c r="AC120" s="15"/>
      <c r="AD120" s="49"/>
    </row>
    <row r="121" spans="1:30" x14ac:dyDescent="0.25">
      <c r="A121" s="17" t="str">
        <f>Info!$B$19</f>
        <v>GPT-OSS 120B</v>
      </c>
      <c r="B121" s="33">
        <v>100</v>
      </c>
      <c r="C121" s="21">
        <f t="shared" si="2"/>
        <v>16</v>
      </c>
      <c r="D121" s="22">
        <v>64.58</v>
      </c>
      <c r="F121" s="48"/>
      <c r="G121" s="15"/>
      <c r="H121" s="49"/>
      <c r="I121" s="48"/>
      <c r="J121" s="15"/>
      <c r="K121" s="49"/>
      <c r="L121" s="48"/>
      <c r="M121" s="15"/>
      <c r="N121" s="49"/>
      <c r="O121" s="48"/>
      <c r="P121" s="15"/>
      <c r="Q121" s="49"/>
      <c r="S121" s="48"/>
      <c r="T121" s="15"/>
      <c r="U121" s="49"/>
      <c r="V121" s="48"/>
      <c r="W121" s="15"/>
      <c r="X121" s="49"/>
      <c r="Y121" s="48"/>
      <c r="Z121" s="15"/>
      <c r="AA121" s="49"/>
      <c r="AB121" s="48"/>
      <c r="AC121" s="15"/>
      <c r="AD121" s="49"/>
    </row>
    <row r="122" spans="1:30" ht="15.75" thickBot="1" x14ac:dyDescent="0.3">
      <c r="A122" s="18" t="str">
        <f>Info!$B$19</f>
        <v>GPT-OSS 120B</v>
      </c>
      <c r="B122" s="34">
        <v>150</v>
      </c>
      <c r="C122" s="21" t="s">
        <v>75</v>
      </c>
      <c r="D122" s="23" t="s">
        <v>75</v>
      </c>
      <c r="F122" s="50"/>
      <c r="G122" s="51"/>
      <c r="H122" s="52"/>
      <c r="I122" s="50"/>
      <c r="J122" s="51"/>
      <c r="K122" s="52"/>
      <c r="L122" s="50"/>
      <c r="M122" s="51"/>
      <c r="N122" s="52"/>
      <c r="O122" s="50"/>
      <c r="P122" s="51"/>
      <c r="Q122" s="52"/>
      <c r="S122" s="50"/>
      <c r="T122" s="51"/>
      <c r="U122" s="52"/>
      <c r="V122" s="50"/>
      <c r="W122" s="51"/>
      <c r="X122" s="52"/>
      <c r="Y122" s="50"/>
      <c r="Z122" s="51"/>
      <c r="AA122" s="52"/>
      <c r="AB122" s="50"/>
      <c r="AC122" s="51"/>
      <c r="AD122" s="52"/>
    </row>
  </sheetData>
  <mergeCells count="11">
    <mergeCell ref="AB2:AD2"/>
    <mergeCell ref="C1:D1"/>
    <mergeCell ref="F1:Q1"/>
    <mergeCell ref="S1:AD1"/>
    <mergeCell ref="F2:H2"/>
    <mergeCell ref="I2:K2"/>
    <mergeCell ref="L2:N2"/>
    <mergeCell ref="O2:Q2"/>
    <mergeCell ref="S2:U2"/>
    <mergeCell ref="V2:X2"/>
    <mergeCell ref="Y2:AA2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4FDC7-9805-4180-B13B-C3BC9AA3AD1A}">
  <dimension ref="A1:AD122"/>
  <sheetViews>
    <sheetView topLeftCell="C1" zoomScale="190" zoomScaleNormal="190" workbookViewId="0">
      <selection activeCell="M7" sqref="M7"/>
    </sheetView>
  </sheetViews>
  <sheetFormatPr defaultRowHeight="15" x14ac:dyDescent="0.25"/>
  <cols>
    <col min="1" max="1" width="23.85546875" bestFit="1" customWidth="1"/>
    <col min="2" max="2" width="9.42578125" customWidth="1"/>
    <col min="3" max="3" width="10" customWidth="1"/>
    <col min="4" max="4" width="9.42578125" customWidth="1"/>
    <col min="5" max="5" width="0.7109375" customWidth="1"/>
    <col min="6" max="6" width="8.85546875" bestFit="1" customWidth="1"/>
    <col min="7" max="7" width="4" bestFit="1" customWidth="1"/>
    <col min="8" max="8" width="10.140625" bestFit="1" customWidth="1"/>
    <col min="9" max="9" width="8.85546875" bestFit="1" customWidth="1"/>
    <col min="10" max="10" width="4" bestFit="1" customWidth="1"/>
    <col min="11" max="11" width="10.140625" bestFit="1" customWidth="1"/>
    <col min="12" max="12" width="8.85546875" bestFit="1" customWidth="1"/>
    <col min="13" max="13" width="4" bestFit="1" customWidth="1"/>
    <col min="14" max="14" width="10.140625" bestFit="1" customWidth="1"/>
    <col min="15" max="15" width="8.85546875" bestFit="1" customWidth="1"/>
    <col min="16" max="16" width="4" bestFit="1" customWidth="1"/>
    <col min="17" max="17" width="10.140625" bestFit="1" customWidth="1"/>
    <col min="18" max="18" width="0.7109375" customWidth="1"/>
    <col min="19" max="19" width="7.5703125" bestFit="1" customWidth="1"/>
    <col min="20" max="20" width="15" bestFit="1" customWidth="1"/>
    <col min="21" max="21" width="10.140625" bestFit="1" customWidth="1"/>
    <col min="22" max="22" width="7.5703125" bestFit="1" customWidth="1"/>
    <col min="23" max="23" width="15" bestFit="1" customWidth="1"/>
    <col min="24" max="24" width="10.140625" bestFit="1" customWidth="1"/>
    <col min="25" max="25" width="7.5703125" bestFit="1" customWidth="1"/>
    <col min="26" max="26" width="15" bestFit="1" customWidth="1"/>
    <col min="27" max="27" width="10.140625" bestFit="1" customWidth="1"/>
    <col min="28" max="28" width="7.5703125" bestFit="1" customWidth="1"/>
    <col min="29" max="29" width="15" bestFit="1" customWidth="1"/>
    <col min="30" max="30" width="10.140625" bestFit="1" customWidth="1"/>
  </cols>
  <sheetData>
    <row r="1" spans="1:30" ht="16.5" thickTop="1" thickBot="1" x14ac:dyDescent="0.3">
      <c r="A1" s="53"/>
      <c r="B1" s="53"/>
      <c r="C1" s="25" t="s">
        <v>76</v>
      </c>
      <c r="D1" s="25"/>
      <c r="E1" s="53"/>
      <c r="F1" s="39" t="s">
        <v>84</v>
      </c>
      <c r="G1" s="40"/>
      <c r="H1" s="40"/>
      <c r="I1" s="40"/>
      <c r="J1" s="40"/>
      <c r="K1" s="40"/>
      <c r="L1" s="40"/>
      <c r="M1" s="40"/>
      <c r="N1" s="40"/>
      <c r="O1" s="40"/>
      <c r="P1" s="40"/>
      <c r="Q1" s="41"/>
      <c r="R1" s="24"/>
      <c r="S1" s="39" t="s">
        <v>81</v>
      </c>
      <c r="T1" s="40"/>
      <c r="U1" s="40"/>
      <c r="V1" s="40"/>
      <c r="W1" s="40"/>
      <c r="X1" s="40"/>
      <c r="Y1" s="40"/>
      <c r="Z1" s="40"/>
      <c r="AA1" s="40"/>
      <c r="AB1" s="40"/>
      <c r="AC1" s="40"/>
      <c r="AD1" s="41"/>
    </row>
    <row r="2" spans="1:30" ht="15.75" thickBot="1" x14ac:dyDescent="0.3">
      <c r="A2" s="53"/>
      <c r="B2" s="53"/>
      <c r="C2" s="53" t="s">
        <v>77</v>
      </c>
      <c r="D2" s="53" t="s">
        <v>78</v>
      </c>
      <c r="E2" s="53"/>
      <c r="F2" s="42">
        <v>1</v>
      </c>
      <c r="G2" s="43"/>
      <c r="H2" s="43"/>
      <c r="I2" s="43">
        <v>2</v>
      </c>
      <c r="J2" s="43"/>
      <c r="K2" s="43"/>
      <c r="L2" s="43">
        <v>3</v>
      </c>
      <c r="M2" s="43"/>
      <c r="N2" s="43"/>
      <c r="O2" s="43">
        <v>4</v>
      </c>
      <c r="P2" s="43"/>
      <c r="Q2" s="44"/>
      <c r="R2" s="24"/>
      <c r="S2" s="42">
        <v>1</v>
      </c>
      <c r="T2" s="43"/>
      <c r="U2" s="43"/>
      <c r="V2" s="43">
        <v>2</v>
      </c>
      <c r="W2" s="43"/>
      <c r="X2" s="43"/>
      <c r="Y2" s="43">
        <v>3</v>
      </c>
      <c r="Z2" s="43"/>
      <c r="AA2" s="43"/>
      <c r="AB2" s="43">
        <v>4</v>
      </c>
      <c r="AC2" s="43"/>
      <c r="AD2" s="44"/>
    </row>
    <row r="3" spans="1:30" ht="16.5" thickTop="1" thickBot="1" x14ac:dyDescent="0.3">
      <c r="A3" s="26" t="s">
        <v>70</v>
      </c>
      <c r="B3" s="27" t="s">
        <v>69</v>
      </c>
      <c r="C3" s="27" t="s">
        <v>54</v>
      </c>
      <c r="D3" s="28" t="s">
        <v>79</v>
      </c>
      <c r="E3" s="29"/>
      <c r="F3" s="37" t="s">
        <v>71</v>
      </c>
      <c r="G3" s="38" t="s">
        <v>72</v>
      </c>
      <c r="H3" s="35" t="s">
        <v>73</v>
      </c>
      <c r="I3" s="37" t="s">
        <v>71</v>
      </c>
      <c r="J3" s="38" t="s">
        <v>72</v>
      </c>
      <c r="K3" s="35" t="s">
        <v>73</v>
      </c>
      <c r="L3" s="37" t="s">
        <v>71</v>
      </c>
      <c r="M3" s="38" t="s">
        <v>72</v>
      </c>
      <c r="N3" s="35" t="s">
        <v>73</v>
      </c>
      <c r="O3" s="37" t="s">
        <v>71</v>
      </c>
      <c r="P3" s="38" t="s">
        <v>72</v>
      </c>
      <c r="Q3" s="36" t="s">
        <v>73</v>
      </c>
      <c r="S3" s="37" t="s">
        <v>82</v>
      </c>
      <c r="T3" s="38" t="s">
        <v>83</v>
      </c>
      <c r="U3" s="35" t="s">
        <v>73</v>
      </c>
      <c r="V3" s="37" t="s">
        <v>82</v>
      </c>
      <c r="W3" s="38" t="s">
        <v>83</v>
      </c>
      <c r="X3" s="35" t="s">
        <v>73</v>
      </c>
      <c r="Y3" s="37" t="s">
        <v>82</v>
      </c>
      <c r="Z3" s="38" t="s">
        <v>83</v>
      </c>
      <c r="AA3" s="35" t="s">
        <v>73</v>
      </c>
      <c r="AB3" s="37" t="s">
        <v>82</v>
      </c>
      <c r="AC3" s="38" t="s">
        <v>83</v>
      </c>
      <c r="AD3" s="36" t="s">
        <v>73</v>
      </c>
    </row>
    <row r="4" spans="1:30" ht="3.75" customHeight="1" thickTop="1" thickBot="1" x14ac:dyDescent="0.3"/>
    <row r="5" spans="1:30" x14ac:dyDescent="0.25">
      <c r="A5" s="16" t="str">
        <f>Info!B3</f>
        <v>Llama 3.2 Instruct</v>
      </c>
      <c r="B5" s="32">
        <v>4</v>
      </c>
      <c r="C5" s="21">
        <f t="shared" ref="C5:C16" si="0">IF(D5 &lt;= 16,D5,16)</f>
        <v>1.36</v>
      </c>
      <c r="D5" s="19">
        <v>1.36</v>
      </c>
      <c r="F5" s="45"/>
      <c r="G5" s="46"/>
      <c r="H5" s="47"/>
      <c r="I5" s="45"/>
      <c r="J5" s="46"/>
      <c r="K5" s="47"/>
      <c r="L5" s="45"/>
      <c r="M5" s="46"/>
      <c r="N5" s="47"/>
      <c r="O5" s="45"/>
      <c r="P5" s="46"/>
      <c r="Q5" s="47"/>
      <c r="S5" s="45"/>
      <c r="T5" s="46"/>
      <c r="U5" s="47"/>
      <c r="V5" s="45"/>
      <c r="W5" s="46"/>
      <c r="X5" s="47"/>
      <c r="Y5" s="45"/>
      <c r="Z5" s="46"/>
      <c r="AA5" s="47"/>
      <c r="AB5" s="45"/>
      <c r="AC5" s="46"/>
      <c r="AD5" s="47"/>
    </row>
    <row r="6" spans="1:30" x14ac:dyDescent="0.25">
      <c r="A6" s="17" t="str">
        <f>Info!$B$3</f>
        <v>Llama 3.2 Instruct</v>
      </c>
      <c r="B6" s="33">
        <v>8</v>
      </c>
      <c r="C6" s="21">
        <f t="shared" si="0"/>
        <v>1.42</v>
      </c>
      <c r="D6" s="21">
        <v>1.42</v>
      </c>
      <c r="F6" s="48"/>
      <c r="G6" s="15"/>
      <c r="H6" s="49"/>
      <c r="I6" s="48"/>
      <c r="J6" s="15"/>
      <c r="K6" s="49"/>
      <c r="L6" s="48"/>
      <c r="M6" s="15"/>
      <c r="N6" s="49"/>
      <c r="O6" s="48"/>
      <c r="P6" s="15"/>
      <c r="Q6" s="49"/>
      <c r="S6" s="48"/>
      <c r="T6" s="15"/>
      <c r="U6" s="49"/>
      <c r="V6" s="48"/>
      <c r="W6" s="15"/>
      <c r="X6" s="49"/>
      <c r="Y6" s="48"/>
      <c r="Z6" s="15"/>
      <c r="AA6" s="49"/>
      <c r="AB6" s="48"/>
      <c r="AC6" s="15"/>
      <c r="AD6" s="49"/>
    </row>
    <row r="7" spans="1:30" x14ac:dyDescent="0.25">
      <c r="A7" s="17" t="str">
        <f>Info!$B$3</f>
        <v>Llama 3.2 Instruct</v>
      </c>
      <c r="B7" s="33">
        <v>20</v>
      </c>
      <c r="C7" s="21">
        <f t="shared" si="0"/>
        <v>1.6</v>
      </c>
      <c r="D7" s="21">
        <v>1.6</v>
      </c>
      <c r="F7" s="48"/>
      <c r="G7" s="15"/>
      <c r="H7" s="49"/>
      <c r="I7" s="48"/>
      <c r="J7" s="15"/>
      <c r="K7" s="49"/>
      <c r="L7" s="48"/>
      <c r="M7" s="15"/>
      <c r="N7" s="49"/>
      <c r="O7" s="48"/>
      <c r="P7" s="15"/>
      <c r="Q7" s="49"/>
      <c r="S7" s="48"/>
      <c r="T7" s="15"/>
      <c r="U7" s="49"/>
      <c r="V7" s="48"/>
      <c r="W7" s="15"/>
      <c r="X7" s="49"/>
      <c r="Y7" s="48"/>
      <c r="Z7" s="15"/>
      <c r="AA7" s="49"/>
      <c r="AB7" s="48"/>
      <c r="AC7" s="15"/>
      <c r="AD7" s="49"/>
    </row>
    <row r="8" spans="1:30" x14ac:dyDescent="0.25">
      <c r="A8" s="17" t="str">
        <f>Info!$B$3</f>
        <v>Llama 3.2 Instruct</v>
      </c>
      <c r="B8" s="33">
        <v>50</v>
      </c>
      <c r="C8" s="21">
        <f t="shared" si="0"/>
        <v>2.06</v>
      </c>
      <c r="D8" s="21">
        <v>2.06</v>
      </c>
      <c r="F8" s="48"/>
      <c r="G8" s="15"/>
      <c r="H8" s="49"/>
      <c r="I8" s="48"/>
      <c r="J8" s="15"/>
      <c r="K8" s="49"/>
      <c r="L8" s="48"/>
      <c r="M8" s="15"/>
      <c r="N8" s="49"/>
      <c r="O8" s="48"/>
      <c r="P8" s="15"/>
      <c r="Q8" s="49"/>
      <c r="S8" s="48"/>
      <c r="T8" s="15"/>
      <c r="U8" s="49"/>
      <c r="V8" s="48"/>
      <c r="W8" s="15"/>
      <c r="X8" s="49"/>
      <c r="Y8" s="48"/>
      <c r="Z8" s="15"/>
      <c r="AA8" s="49"/>
      <c r="AB8" s="48"/>
      <c r="AC8" s="15"/>
      <c r="AD8" s="49"/>
    </row>
    <row r="9" spans="1:30" x14ac:dyDescent="0.25">
      <c r="A9" s="17" t="str">
        <f>Info!$B$3</f>
        <v>Llama 3.2 Instruct</v>
      </c>
      <c r="B9" s="33">
        <v>100</v>
      </c>
      <c r="C9" s="21">
        <f t="shared" si="0"/>
        <v>2.82</v>
      </c>
      <c r="D9" s="21">
        <v>2.82</v>
      </c>
      <c r="F9" s="48"/>
      <c r="G9" s="15"/>
      <c r="H9" s="49"/>
      <c r="I9" s="48"/>
      <c r="J9" s="15"/>
      <c r="K9" s="49"/>
      <c r="L9" s="48"/>
      <c r="M9" s="15"/>
      <c r="N9" s="49"/>
      <c r="O9" s="48"/>
      <c r="P9" s="15"/>
      <c r="Q9" s="49"/>
      <c r="S9" s="48"/>
      <c r="T9" s="15"/>
      <c r="U9" s="49"/>
      <c r="V9" s="48"/>
      <c r="W9" s="15"/>
      <c r="X9" s="49"/>
      <c r="Y9" s="48"/>
      <c r="Z9" s="15"/>
      <c r="AA9" s="49"/>
      <c r="AB9" s="48"/>
      <c r="AC9" s="15"/>
      <c r="AD9" s="49"/>
    </row>
    <row r="10" spans="1:30" ht="15.75" thickBot="1" x14ac:dyDescent="0.3">
      <c r="A10" s="18" t="str">
        <f>Info!$B$3</f>
        <v>Llama 3.2 Instruct</v>
      </c>
      <c r="B10" s="34">
        <v>150</v>
      </c>
      <c r="C10" s="54" t="s">
        <v>75</v>
      </c>
      <c r="D10" s="23" t="s">
        <v>75</v>
      </c>
      <c r="F10" s="50"/>
      <c r="G10" s="51"/>
      <c r="H10" s="52"/>
      <c r="I10" s="50"/>
      <c r="J10" s="51"/>
      <c r="K10" s="52"/>
      <c r="L10" s="50"/>
      <c r="M10" s="51"/>
      <c r="N10" s="52"/>
      <c r="O10" s="50"/>
      <c r="P10" s="51"/>
      <c r="Q10" s="52"/>
      <c r="S10" s="50"/>
      <c r="T10" s="51"/>
      <c r="U10" s="52"/>
      <c r="V10" s="50"/>
      <c r="W10" s="51"/>
      <c r="X10" s="52"/>
      <c r="Y10" s="50"/>
      <c r="Z10" s="51"/>
      <c r="AA10" s="52"/>
      <c r="AB10" s="50"/>
      <c r="AC10" s="51"/>
      <c r="AD10" s="52"/>
    </row>
    <row r="11" spans="1:30" ht="3.75" customHeight="1" thickBot="1" x14ac:dyDescent="0.3">
      <c r="B11" s="30"/>
      <c r="C11" s="56"/>
      <c r="D11" s="31"/>
    </row>
    <row r="12" spans="1:30" x14ac:dyDescent="0.25">
      <c r="A12" s="16" t="str">
        <f>Info!$B$4</f>
        <v>Gemma 3 4B</v>
      </c>
      <c r="B12" s="32">
        <v>4</v>
      </c>
      <c r="C12" s="55">
        <f t="shared" si="0"/>
        <v>3.61</v>
      </c>
      <c r="D12" s="19">
        <v>3.61</v>
      </c>
      <c r="F12" s="45"/>
      <c r="G12" s="46"/>
      <c r="H12" s="47"/>
      <c r="I12" s="45"/>
      <c r="J12" s="46"/>
      <c r="K12" s="47"/>
      <c r="L12" s="45"/>
      <c r="M12" s="46"/>
      <c r="N12" s="47"/>
      <c r="O12" s="45"/>
      <c r="P12" s="46"/>
      <c r="Q12" s="47"/>
      <c r="S12" s="45"/>
      <c r="T12" s="46"/>
      <c r="U12" s="47"/>
      <c r="V12" s="45"/>
      <c r="W12" s="46"/>
      <c r="X12" s="47"/>
      <c r="Y12" s="45"/>
      <c r="Z12" s="46"/>
      <c r="AA12" s="47"/>
      <c r="AB12" s="45"/>
      <c r="AC12" s="46"/>
      <c r="AD12" s="47"/>
    </row>
    <row r="13" spans="1:30" x14ac:dyDescent="0.25">
      <c r="A13" s="17" t="str">
        <f>Info!$B$4</f>
        <v>Gemma 3 4B</v>
      </c>
      <c r="B13" s="33">
        <v>8</v>
      </c>
      <c r="C13" s="21">
        <f t="shared" si="0"/>
        <v>3.92</v>
      </c>
      <c r="D13" s="21">
        <v>3.92</v>
      </c>
      <c r="F13" s="48"/>
      <c r="G13" s="15"/>
      <c r="H13" s="49"/>
      <c r="I13" s="48"/>
      <c r="J13" s="15"/>
      <c r="K13" s="49"/>
      <c r="L13" s="48"/>
      <c r="M13" s="15"/>
      <c r="N13" s="49"/>
      <c r="O13" s="48"/>
      <c r="P13" s="15"/>
      <c r="Q13" s="49"/>
      <c r="S13" s="48"/>
      <c r="T13" s="15"/>
      <c r="U13" s="49"/>
      <c r="V13" s="48"/>
      <c r="W13" s="15"/>
      <c r="X13" s="49"/>
      <c r="Y13" s="48"/>
      <c r="Z13" s="15"/>
      <c r="AA13" s="49"/>
      <c r="AB13" s="48"/>
      <c r="AC13" s="15"/>
      <c r="AD13" s="49"/>
    </row>
    <row r="14" spans="1:30" x14ac:dyDescent="0.25">
      <c r="A14" s="17" t="str">
        <f>Info!$B$4</f>
        <v>Gemma 3 4B</v>
      </c>
      <c r="B14" s="33">
        <v>20</v>
      </c>
      <c r="C14" s="21">
        <f t="shared" si="0"/>
        <v>4.88</v>
      </c>
      <c r="D14" s="21">
        <v>4.88</v>
      </c>
      <c r="F14" s="48"/>
      <c r="G14" s="15"/>
      <c r="H14" s="49"/>
      <c r="I14" s="48"/>
      <c r="J14" s="15"/>
      <c r="K14" s="49"/>
      <c r="L14" s="48"/>
      <c r="M14" s="15"/>
      <c r="N14" s="49"/>
      <c r="O14" s="48"/>
      <c r="P14" s="15"/>
      <c r="Q14" s="49"/>
      <c r="S14" s="48"/>
      <c r="T14" s="15"/>
      <c r="U14" s="49"/>
      <c r="V14" s="48"/>
      <c r="W14" s="15"/>
      <c r="X14" s="49"/>
      <c r="Y14" s="48"/>
      <c r="Z14" s="15"/>
      <c r="AA14" s="49"/>
      <c r="AB14" s="48"/>
      <c r="AC14" s="15"/>
      <c r="AD14" s="49"/>
    </row>
    <row r="15" spans="1:30" x14ac:dyDescent="0.25">
      <c r="A15" s="17" t="str">
        <f>Info!$B$4</f>
        <v>Gemma 3 4B</v>
      </c>
      <c r="B15" s="33">
        <v>50</v>
      </c>
      <c r="C15" s="21">
        <f t="shared" si="0"/>
        <v>7.27</v>
      </c>
      <c r="D15" s="21">
        <v>7.27</v>
      </c>
      <c r="F15" s="48"/>
      <c r="G15" s="15"/>
      <c r="H15" s="49"/>
      <c r="I15" s="48"/>
      <c r="J15" s="15"/>
      <c r="K15" s="49"/>
      <c r="L15" s="48"/>
      <c r="M15" s="15"/>
      <c r="N15" s="49"/>
      <c r="O15" s="48"/>
      <c r="P15" s="15"/>
      <c r="Q15" s="49"/>
      <c r="S15" s="48"/>
      <c r="T15" s="15"/>
      <c r="U15" s="49"/>
      <c r="V15" s="48"/>
      <c r="W15" s="15"/>
      <c r="X15" s="49"/>
      <c r="Y15" s="48"/>
      <c r="Z15" s="15"/>
      <c r="AA15" s="49"/>
      <c r="AB15" s="48"/>
      <c r="AC15" s="15"/>
      <c r="AD15" s="49"/>
    </row>
    <row r="16" spans="1:30" x14ac:dyDescent="0.25">
      <c r="A16" s="17" t="str">
        <f>Info!$B$4</f>
        <v>Gemma 3 4B</v>
      </c>
      <c r="B16" s="33">
        <v>100</v>
      </c>
      <c r="C16" s="21">
        <f t="shared" si="0"/>
        <v>11.27</v>
      </c>
      <c r="D16" s="21">
        <v>11.27</v>
      </c>
      <c r="F16" s="48"/>
      <c r="G16" s="15"/>
      <c r="H16" s="49"/>
      <c r="I16" s="48"/>
      <c r="J16" s="15"/>
      <c r="K16" s="49"/>
      <c r="L16" s="48"/>
      <c r="M16" s="15"/>
      <c r="N16" s="49"/>
      <c r="O16" s="48"/>
      <c r="P16" s="15"/>
      <c r="Q16" s="49"/>
      <c r="S16" s="48"/>
      <c r="T16" s="15"/>
      <c r="U16" s="49"/>
      <c r="V16" s="48"/>
      <c r="W16" s="15"/>
      <c r="X16" s="49"/>
      <c r="Y16" s="48"/>
      <c r="Z16" s="15"/>
      <c r="AA16" s="49"/>
      <c r="AB16" s="48"/>
      <c r="AC16" s="15"/>
      <c r="AD16" s="49"/>
    </row>
    <row r="17" spans="1:30" ht="15.75" thickBot="1" x14ac:dyDescent="0.3">
      <c r="A17" s="18" t="str">
        <f>Info!$B$4</f>
        <v>Gemma 3 4B</v>
      </c>
      <c r="B17" s="34">
        <v>150</v>
      </c>
      <c r="C17" s="54" t="s">
        <v>75</v>
      </c>
      <c r="D17" s="23" t="s">
        <v>75</v>
      </c>
      <c r="F17" s="50"/>
      <c r="G17" s="51"/>
      <c r="H17" s="52"/>
      <c r="I17" s="50"/>
      <c r="J17" s="51"/>
      <c r="K17" s="52"/>
      <c r="L17" s="50"/>
      <c r="M17" s="51"/>
      <c r="N17" s="52"/>
      <c r="O17" s="50"/>
      <c r="P17" s="51"/>
      <c r="Q17" s="52"/>
      <c r="S17" s="50"/>
      <c r="T17" s="51"/>
      <c r="U17" s="52"/>
      <c r="V17" s="50"/>
      <c r="W17" s="51"/>
      <c r="X17" s="52"/>
      <c r="Y17" s="50"/>
      <c r="Z17" s="51"/>
      <c r="AA17" s="52"/>
      <c r="AB17" s="50"/>
      <c r="AC17" s="51"/>
      <c r="AD17" s="52"/>
    </row>
    <row r="18" spans="1:30" ht="3.75" customHeight="1" thickBot="1" x14ac:dyDescent="0.3">
      <c r="B18" s="30"/>
      <c r="C18" s="56"/>
      <c r="D18" s="31"/>
    </row>
    <row r="19" spans="1:30" x14ac:dyDescent="0.25">
      <c r="A19" s="16" t="str">
        <f>Info!$B$5</f>
        <v>Gemma 4 E2B</v>
      </c>
      <c r="B19" s="32">
        <v>4</v>
      </c>
      <c r="C19" s="55">
        <f>IF(D19 &lt;= 16,D19,16)</f>
        <v>4.38</v>
      </c>
      <c r="D19" s="20">
        <v>4.38</v>
      </c>
      <c r="F19" s="45"/>
      <c r="G19" s="46"/>
      <c r="H19" s="47"/>
      <c r="I19" s="45"/>
      <c r="J19" s="46"/>
      <c r="K19" s="47"/>
      <c r="L19" s="45"/>
      <c r="M19" s="46"/>
      <c r="N19" s="47"/>
      <c r="O19" s="45"/>
      <c r="P19" s="46"/>
      <c r="Q19" s="47"/>
      <c r="S19" s="45"/>
      <c r="T19" s="46"/>
      <c r="U19" s="47"/>
      <c r="V19" s="45"/>
      <c r="W19" s="46"/>
      <c r="X19" s="47"/>
      <c r="Y19" s="45"/>
      <c r="Z19" s="46"/>
      <c r="AA19" s="47"/>
      <c r="AB19" s="45"/>
      <c r="AC19" s="46"/>
      <c r="AD19" s="47"/>
    </row>
    <row r="20" spans="1:30" x14ac:dyDescent="0.25">
      <c r="A20" s="17" t="str">
        <f>Info!$B$5</f>
        <v>Gemma 4 E2B</v>
      </c>
      <c r="B20" s="33">
        <v>8</v>
      </c>
      <c r="C20" s="21">
        <f>IF(D20 &lt;= 16,D20,16)</f>
        <v>4.43</v>
      </c>
      <c r="D20" s="22">
        <v>4.43</v>
      </c>
      <c r="F20" s="48"/>
      <c r="G20" s="15"/>
      <c r="H20" s="49"/>
      <c r="I20" s="48"/>
      <c r="J20" s="15"/>
      <c r="K20" s="49"/>
      <c r="L20" s="48"/>
      <c r="M20" s="15"/>
      <c r="N20" s="49"/>
      <c r="O20" s="48"/>
      <c r="P20" s="15"/>
      <c r="Q20" s="49"/>
      <c r="S20" s="48"/>
      <c r="T20" s="15"/>
      <c r="U20" s="49"/>
      <c r="V20" s="48"/>
      <c r="W20" s="15"/>
      <c r="X20" s="49"/>
      <c r="Y20" s="48"/>
      <c r="Z20" s="15"/>
      <c r="AA20" s="49"/>
      <c r="AB20" s="48"/>
      <c r="AC20" s="15"/>
      <c r="AD20" s="49"/>
    </row>
    <row r="21" spans="1:30" x14ac:dyDescent="0.25">
      <c r="A21" s="17" t="str">
        <f>Info!$B$5</f>
        <v>Gemma 4 E2B</v>
      </c>
      <c r="B21" s="33">
        <v>20</v>
      </c>
      <c r="C21" s="21">
        <f t="shared" ref="C21:C84" si="1">IF(D21 &lt;= 16,D21,16)</f>
        <v>4.5599999999999996</v>
      </c>
      <c r="D21" s="22">
        <v>4.5599999999999996</v>
      </c>
      <c r="F21" s="48"/>
      <c r="G21" s="15"/>
      <c r="H21" s="49"/>
      <c r="I21" s="48"/>
      <c r="J21" s="15"/>
      <c r="K21" s="49"/>
      <c r="L21" s="48"/>
      <c r="M21" s="15"/>
      <c r="N21" s="49"/>
      <c r="O21" s="48"/>
      <c r="P21" s="15"/>
      <c r="Q21" s="49"/>
      <c r="S21" s="48"/>
      <c r="T21" s="15"/>
      <c r="U21" s="49"/>
      <c r="V21" s="48"/>
      <c r="W21" s="15"/>
      <c r="X21" s="49"/>
      <c r="Y21" s="48"/>
      <c r="Z21" s="15"/>
      <c r="AA21" s="49"/>
      <c r="AB21" s="48"/>
      <c r="AC21" s="15"/>
      <c r="AD21" s="49"/>
    </row>
    <row r="22" spans="1:30" x14ac:dyDescent="0.25">
      <c r="A22" s="17" t="str">
        <f>Info!$B$5</f>
        <v>Gemma 4 E2B</v>
      </c>
      <c r="B22" s="33">
        <v>50</v>
      </c>
      <c r="C22" s="21">
        <f t="shared" si="1"/>
        <v>4.96</v>
      </c>
      <c r="D22" s="22">
        <v>4.96</v>
      </c>
      <c r="F22" s="48"/>
      <c r="G22" s="15"/>
      <c r="H22" s="49"/>
      <c r="I22" s="48"/>
      <c r="J22" s="15"/>
      <c r="K22" s="49"/>
      <c r="L22" s="48"/>
      <c r="M22" s="15"/>
      <c r="N22" s="49"/>
      <c r="O22" s="48"/>
      <c r="P22" s="15"/>
      <c r="Q22" s="49"/>
      <c r="S22" s="48"/>
      <c r="T22" s="15"/>
      <c r="U22" s="49"/>
      <c r="V22" s="48"/>
      <c r="W22" s="15"/>
      <c r="X22" s="49"/>
      <c r="Y22" s="48"/>
      <c r="Z22" s="15"/>
      <c r="AA22" s="49"/>
      <c r="AB22" s="48"/>
      <c r="AC22" s="15"/>
      <c r="AD22" s="49"/>
    </row>
    <row r="23" spans="1:30" x14ac:dyDescent="0.25">
      <c r="A23" s="17" t="str">
        <f>Info!$B$5</f>
        <v>Gemma 4 E2B</v>
      </c>
      <c r="B23" s="33">
        <v>100</v>
      </c>
      <c r="C23" s="21">
        <f t="shared" si="1"/>
        <v>5.58</v>
      </c>
      <c r="D23" s="22">
        <v>5.58</v>
      </c>
      <c r="F23" s="48"/>
      <c r="G23" s="15"/>
      <c r="H23" s="49"/>
      <c r="I23" s="48"/>
      <c r="J23" s="15"/>
      <c r="K23" s="49"/>
      <c r="L23" s="48"/>
      <c r="M23" s="15"/>
      <c r="N23" s="49"/>
      <c r="O23" s="48"/>
      <c r="P23" s="15"/>
      <c r="Q23" s="49"/>
      <c r="S23" s="48"/>
      <c r="T23" s="15"/>
      <c r="U23" s="49"/>
      <c r="V23" s="48"/>
      <c r="W23" s="15"/>
      <c r="X23" s="49"/>
      <c r="Y23" s="48"/>
      <c r="Z23" s="15"/>
      <c r="AA23" s="49"/>
      <c r="AB23" s="48"/>
      <c r="AC23" s="15"/>
      <c r="AD23" s="49"/>
    </row>
    <row r="24" spans="1:30" ht="15.75" thickBot="1" x14ac:dyDescent="0.3">
      <c r="A24" s="18" t="str">
        <f>Info!$B$5</f>
        <v>Gemma 4 E2B</v>
      </c>
      <c r="B24" s="34">
        <v>150</v>
      </c>
      <c r="C24" s="54" t="s">
        <v>75</v>
      </c>
      <c r="D24" s="23" t="s">
        <v>75</v>
      </c>
      <c r="F24" s="50"/>
      <c r="G24" s="51"/>
      <c r="H24" s="52"/>
      <c r="I24" s="50"/>
      <c r="J24" s="51"/>
      <c r="K24" s="52"/>
      <c r="L24" s="50"/>
      <c r="M24" s="51"/>
      <c r="N24" s="52"/>
      <c r="O24" s="50"/>
      <c r="P24" s="51"/>
      <c r="Q24" s="52"/>
      <c r="S24" s="50"/>
      <c r="T24" s="51"/>
      <c r="U24" s="52"/>
      <c r="V24" s="50"/>
      <c r="W24" s="51"/>
      <c r="X24" s="52"/>
      <c r="Y24" s="50"/>
      <c r="Z24" s="51"/>
      <c r="AA24" s="52"/>
      <c r="AB24" s="50"/>
      <c r="AC24" s="51"/>
      <c r="AD24" s="52"/>
    </row>
    <row r="25" spans="1:30" ht="5.0999999999999996" customHeight="1" thickBot="1" x14ac:dyDescent="0.3">
      <c r="B25" s="30"/>
      <c r="C25" s="56"/>
      <c r="D25" s="31"/>
    </row>
    <row r="26" spans="1:30" x14ac:dyDescent="0.25">
      <c r="A26" s="16" t="str">
        <f>Info!$B$6</f>
        <v>Qwen3 8B</v>
      </c>
      <c r="B26" s="32">
        <v>4</v>
      </c>
      <c r="C26" s="55">
        <f t="shared" si="1"/>
        <v>5.21</v>
      </c>
      <c r="D26" s="20">
        <v>5.21</v>
      </c>
      <c r="F26" s="45"/>
      <c r="G26" s="46"/>
      <c r="H26" s="47"/>
      <c r="I26" s="45"/>
      <c r="J26" s="46"/>
      <c r="K26" s="47"/>
      <c r="L26" s="45"/>
      <c r="M26" s="46"/>
      <c r="N26" s="47"/>
      <c r="O26" s="45"/>
      <c r="P26" s="46"/>
      <c r="Q26" s="47"/>
      <c r="S26" s="45"/>
      <c r="T26" s="46"/>
      <c r="U26" s="47"/>
      <c r="V26" s="45"/>
      <c r="W26" s="46"/>
      <c r="X26" s="47"/>
      <c r="Y26" s="45"/>
      <c r="Z26" s="46"/>
      <c r="AA26" s="47"/>
      <c r="AB26" s="45"/>
      <c r="AC26" s="46"/>
      <c r="AD26" s="47"/>
    </row>
    <row r="27" spans="1:30" x14ac:dyDescent="0.25">
      <c r="A27" s="17" t="str">
        <f>Info!$B$6</f>
        <v>Qwen3 8B</v>
      </c>
      <c r="B27" s="33">
        <v>8</v>
      </c>
      <c r="C27" s="21">
        <f t="shared" si="1"/>
        <v>5.48</v>
      </c>
      <c r="D27" s="22">
        <v>5.48</v>
      </c>
      <c r="F27" s="48"/>
      <c r="G27" s="15"/>
      <c r="H27" s="49"/>
      <c r="I27" s="48"/>
      <c r="J27" s="15"/>
      <c r="K27" s="49"/>
      <c r="L27" s="48"/>
      <c r="M27" s="15"/>
      <c r="N27" s="49"/>
      <c r="O27" s="48"/>
      <c r="P27" s="15"/>
      <c r="Q27" s="49"/>
      <c r="S27" s="48"/>
      <c r="T27" s="15"/>
      <c r="U27" s="49"/>
      <c r="V27" s="48"/>
      <c r="W27" s="15"/>
      <c r="X27" s="49"/>
      <c r="Y27" s="48"/>
      <c r="Z27" s="15"/>
      <c r="AA27" s="49"/>
      <c r="AB27" s="48"/>
      <c r="AC27" s="15"/>
      <c r="AD27" s="49"/>
    </row>
    <row r="28" spans="1:30" x14ac:dyDescent="0.25">
      <c r="A28" s="17" t="str">
        <f>Info!$B$6</f>
        <v>Qwen3 8B</v>
      </c>
      <c r="B28" s="33">
        <v>20</v>
      </c>
      <c r="C28" s="21">
        <f t="shared" si="1"/>
        <v>6.29</v>
      </c>
      <c r="D28" s="22">
        <v>6.29</v>
      </c>
      <c r="F28" s="48"/>
      <c r="G28" s="15"/>
      <c r="H28" s="49"/>
      <c r="I28" s="48"/>
      <c r="J28" s="15"/>
      <c r="K28" s="49"/>
      <c r="L28" s="48"/>
      <c r="M28" s="15"/>
      <c r="N28" s="49"/>
      <c r="O28" s="48"/>
      <c r="P28" s="15"/>
      <c r="Q28" s="49"/>
      <c r="S28" s="48"/>
      <c r="T28" s="15"/>
      <c r="U28" s="49"/>
      <c r="V28" s="48"/>
      <c r="W28" s="15"/>
      <c r="X28" s="49"/>
      <c r="Y28" s="48"/>
      <c r="Z28" s="15"/>
      <c r="AA28" s="49"/>
      <c r="AB28" s="48"/>
      <c r="AC28" s="15"/>
      <c r="AD28" s="49"/>
    </row>
    <row r="29" spans="1:30" x14ac:dyDescent="0.25">
      <c r="A29" s="17" t="str">
        <f>Info!$B$6</f>
        <v>Qwen3 8B</v>
      </c>
      <c r="B29" s="33">
        <v>50</v>
      </c>
      <c r="C29" s="21" t="s">
        <v>75</v>
      </c>
      <c r="D29" s="22" t="s">
        <v>75</v>
      </c>
      <c r="F29" s="48"/>
      <c r="G29" s="15"/>
      <c r="H29" s="49"/>
      <c r="I29" s="48"/>
      <c r="J29" s="15"/>
      <c r="K29" s="49"/>
      <c r="L29" s="48"/>
      <c r="M29" s="15"/>
      <c r="N29" s="49"/>
      <c r="O29" s="48"/>
      <c r="P29" s="15"/>
      <c r="Q29" s="49"/>
      <c r="S29" s="48"/>
      <c r="T29" s="15"/>
      <c r="U29" s="49"/>
      <c r="V29" s="48"/>
      <c r="W29" s="15"/>
      <c r="X29" s="49"/>
      <c r="Y29" s="48"/>
      <c r="Z29" s="15"/>
      <c r="AA29" s="49"/>
      <c r="AB29" s="48"/>
      <c r="AC29" s="15"/>
      <c r="AD29" s="49"/>
    </row>
    <row r="30" spans="1:30" x14ac:dyDescent="0.25">
      <c r="A30" s="17" t="str">
        <f>Info!$B$6</f>
        <v>Qwen3 8B</v>
      </c>
      <c r="B30" s="33">
        <v>100</v>
      </c>
      <c r="C30" s="21" t="s">
        <v>75</v>
      </c>
      <c r="D30" s="22" t="s">
        <v>75</v>
      </c>
      <c r="F30" s="48"/>
      <c r="G30" s="15"/>
      <c r="H30" s="49"/>
      <c r="I30" s="48"/>
      <c r="J30" s="15"/>
      <c r="K30" s="49"/>
      <c r="L30" s="48"/>
      <c r="M30" s="15"/>
      <c r="N30" s="49"/>
      <c r="O30" s="48"/>
      <c r="P30" s="15"/>
      <c r="Q30" s="49"/>
      <c r="S30" s="48"/>
      <c r="T30" s="15"/>
      <c r="U30" s="49"/>
      <c r="V30" s="48"/>
      <c r="W30" s="15"/>
      <c r="X30" s="49"/>
      <c r="Y30" s="48"/>
      <c r="Z30" s="15"/>
      <c r="AA30" s="49"/>
      <c r="AB30" s="48"/>
      <c r="AC30" s="15"/>
      <c r="AD30" s="49"/>
    </row>
    <row r="31" spans="1:30" ht="15.75" thickBot="1" x14ac:dyDescent="0.3">
      <c r="A31" s="18" t="str">
        <f>Info!$B$6</f>
        <v>Qwen3 8B</v>
      </c>
      <c r="B31" s="34">
        <v>150</v>
      </c>
      <c r="C31" s="54" t="s">
        <v>75</v>
      </c>
      <c r="D31" s="23" t="s">
        <v>75</v>
      </c>
      <c r="F31" s="50"/>
      <c r="G31" s="51"/>
      <c r="H31" s="52"/>
      <c r="I31" s="50"/>
      <c r="J31" s="51"/>
      <c r="K31" s="52"/>
      <c r="L31" s="50"/>
      <c r="M31" s="51"/>
      <c r="N31" s="52"/>
      <c r="O31" s="50"/>
      <c r="P31" s="51"/>
      <c r="Q31" s="52"/>
      <c r="S31" s="50"/>
      <c r="T31" s="51"/>
      <c r="U31" s="52"/>
      <c r="V31" s="50"/>
      <c r="W31" s="51"/>
      <c r="X31" s="52"/>
      <c r="Y31" s="50"/>
      <c r="Z31" s="51"/>
      <c r="AA31" s="52"/>
      <c r="AB31" s="50"/>
      <c r="AC31" s="51"/>
      <c r="AD31" s="52"/>
    </row>
    <row r="32" spans="1:30" ht="5.0999999999999996" customHeight="1" thickBot="1" x14ac:dyDescent="0.3">
      <c r="B32" s="30"/>
      <c r="C32" s="56"/>
      <c r="D32" s="31"/>
    </row>
    <row r="33" spans="1:30" x14ac:dyDescent="0.25">
      <c r="A33" s="16" t="str">
        <f>Info!$B$7</f>
        <v>Gemma 4 E4B</v>
      </c>
      <c r="B33" s="32">
        <v>4</v>
      </c>
      <c r="C33" s="55">
        <f t="shared" si="1"/>
        <v>6.41</v>
      </c>
      <c r="D33" s="20">
        <v>6.41</v>
      </c>
      <c r="F33" s="45"/>
      <c r="G33" s="46"/>
      <c r="H33" s="47"/>
      <c r="I33" s="45"/>
      <c r="J33" s="46"/>
      <c r="K33" s="47"/>
      <c r="L33" s="45"/>
      <c r="M33" s="46"/>
      <c r="N33" s="47"/>
      <c r="O33" s="45"/>
      <c r="P33" s="46"/>
      <c r="Q33" s="47"/>
      <c r="S33" s="45"/>
      <c r="T33" s="46"/>
      <c r="U33" s="47"/>
      <c r="V33" s="45"/>
      <c r="W33" s="46"/>
      <c r="X33" s="47"/>
      <c r="Y33" s="45"/>
      <c r="Z33" s="46"/>
      <c r="AA33" s="47"/>
      <c r="AB33" s="45"/>
      <c r="AC33" s="46"/>
      <c r="AD33" s="47"/>
    </row>
    <row r="34" spans="1:30" x14ac:dyDescent="0.25">
      <c r="A34" s="17" t="str">
        <f>Info!$B$7</f>
        <v>Gemma 4 E4B</v>
      </c>
      <c r="B34" s="33">
        <v>8</v>
      </c>
      <c r="C34" s="21">
        <f t="shared" si="1"/>
        <v>6.6</v>
      </c>
      <c r="D34" s="22">
        <v>6.6</v>
      </c>
      <c r="F34" s="48"/>
      <c r="G34" s="15"/>
      <c r="H34" s="49"/>
      <c r="I34" s="48"/>
      <c r="J34" s="15"/>
      <c r="K34" s="49"/>
      <c r="L34" s="48"/>
      <c r="M34" s="15"/>
      <c r="N34" s="49"/>
      <c r="O34" s="48"/>
      <c r="P34" s="15"/>
      <c r="Q34" s="49"/>
      <c r="S34" s="48"/>
      <c r="T34" s="15"/>
      <c r="U34" s="49"/>
      <c r="V34" s="48"/>
      <c r="W34" s="15"/>
      <c r="X34" s="49"/>
      <c r="Y34" s="48"/>
      <c r="Z34" s="15"/>
      <c r="AA34" s="49"/>
      <c r="AB34" s="48"/>
      <c r="AC34" s="15"/>
      <c r="AD34" s="49"/>
    </row>
    <row r="35" spans="1:30" x14ac:dyDescent="0.25">
      <c r="A35" s="17" t="str">
        <f>Info!$B$7</f>
        <v>Gemma 4 E4B</v>
      </c>
      <c r="B35" s="33">
        <v>20</v>
      </c>
      <c r="C35" s="21">
        <f t="shared" si="1"/>
        <v>7.2</v>
      </c>
      <c r="D35" s="22">
        <v>7.2</v>
      </c>
      <c r="F35" s="48"/>
      <c r="G35" s="15"/>
      <c r="H35" s="49"/>
      <c r="I35" s="48"/>
      <c r="J35" s="15"/>
      <c r="K35" s="49"/>
      <c r="L35" s="48"/>
      <c r="M35" s="15"/>
      <c r="N35" s="49"/>
      <c r="O35" s="48"/>
      <c r="P35" s="15"/>
      <c r="Q35" s="49"/>
      <c r="S35" s="48"/>
      <c r="T35" s="15"/>
      <c r="U35" s="49"/>
      <c r="V35" s="48"/>
      <c r="W35" s="15"/>
      <c r="X35" s="49"/>
      <c r="Y35" s="48"/>
      <c r="Z35" s="15"/>
      <c r="AA35" s="49"/>
      <c r="AB35" s="48"/>
      <c r="AC35" s="15"/>
      <c r="AD35" s="49"/>
    </row>
    <row r="36" spans="1:30" x14ac:dyDescent="0.25">
      <c r="A36" s="17" t="str">
        <f>Info!$B$7</f>
        <v>Gemma 4 E4B</v>
      </c>
      <c r="B36" s="33">
        <v>50</v>
      </c>
      <c r="C36" s="21">
        <f t="shared" si="1"/>
        <v>8.68</v>
      </c>
      <c r="D36" s="22">
        <v>8.68</v>
      </c>
      <c r="F36" s="48"/>
      <c r="G36" s="15"/>
      <c r="H36" s="49"/>
      <c r="I36" s="48"/>
      <c r="J36" s="15"/>
      <c r="K36" s="49"/>
      <c r="L36" s="48"/>
      <c r="M36" s="15"/>
      <c r="N36" s="49"/>
      <c r="O36" s="48"/>
      <c r="P36" s="15"/>
      <c r="Q36" s="49"/>
      <c r="S36" s="48"/>
      <c r="T36" s="15"/>
      <c r="U36" s="49"/>
      <c r="V36" s="48"/>
      <c r="W36" s="15"/>
      <c r="X36" s="49"/>
      <c r="Y36" s="48"/>
      <c r="Z36" s="15"/>
      <c r="AA36" s="49"/>
      <c r="AB36" s="48"/>
      <c r="AC36" s="15"/>
      <c r="AD36" s="49"/>
    </row>
    <row r="37" spans="1:30" x14ac:dyDescent="0.25">
      <c r="A37" s="17" t="str">
        <f>Info!$B$7</f>
        <v>Gemma 4 E4B</v>
      </c>
      <c r="B37" s="33">
        <v>100</v>
      </c>
      <c r="C37" s="21">
        <f t="shared" si="1"/>
        <v>11.15</v>
      </c>
      <c r="D37" s="22">
        <v>11.15</v>
      </c>
      <c r="F37" s="48"/>
      <c r="G37" s="15"/>
      <c r="H37" s="49"/>
      <c r="I37" s="48"/>
      <c r="J37" s="15"/>
      <c r="K37" s="49"/>
      <c r="L37" s="48"/>
      <c r="M37" s="15"/>
      <c r="N37" s="49"/>
      <c r="O37" s="48"/>
      <c r="P37" s="15"/>
      <c r="Q37" s="49"/>
      <c r="S37" s="48"/>
      <c r="T37" s="15"/>
      <c r="U37" s="49"/>
      <c r="V37" s="48"/>
      <c r="W37" s="15"/>
      <c r="X37" s="49"/>
      <c r="Y37" s="48"/>
      <c r="Z37" s="15"/>
      <c r="AA37" s="49"/>
      <c r="AB37" s="48"/>
      <c r="AC37" s="15"/>
      <c r="AD37" s="49"/>
    </row>
    <row r="38" spans="1:30" ht="15.75" thickBot="1" x14ac:dyDescent="0.3">
      <c r="A38" s="18" t="str">
        <f>Info!$B$7</f>
        <v>Gemma 4 E4B</v>
      </c>
      <c r="B38" s="34">
        <v>150</v>
      </c>
      <c r="C38" s="54" t="s">
        <v>75</v>
      </c>
      <c r="D38" s="23" t="s">
        <v>75</v>
      </c>
      <c r="F38" s="50"/>
      <c r="G38" s="51"/>
      <c r="H38" s="52"/>
      <c r="I38" s="50"/>
      <c r="J38" s="51"/>
      <c r="K38" s="52"/>
      <c r="L38" s="50"/>
      <c r="M38" s="51"/>
      <c r="N38" s="52"/>
      <c r="O38" s="50"/>
      <c r="P38" s="51"/>
      <c r="Q38" s="52"/>
      <c r="S38" s="50"/>
      <c r="T38" s="51"/>
      <c r="U38" s="52"/>
      <c r="V38" s="50"/>
      <c r="W38" s="51"/>
      <c r="X38" s="52"/>
      <c r="Y38" s="50"/>
      <c r="Z38" s="51"/>
      <c r="AA38" s="52"/>
      <c r="AB38" s="50"/>
      <c r="AC38" s="51"/>
      <c r="AD38" s="52"/>
    </row>
    <row r="39" spans="1:30" ht="5.0999999999999996" customHeight="1" thickBot="1" x14ac:dyDescent="0.3">
      <c r="B39" s="30"/>
      <c r="C39" s="56"/>
      <c r="D39" s="31"/>
    </row>
    <row r="40" spans="1:30" x14ac:dyDescent="0.25">
      <c r="A40" s="16" t="str">
        <f>Info!$B$8</f>
        <v>Qwen3.5 9B</v>
      </c>
      <c r="B40" s="32">
        <v>4</v>
      </c>
      <c r="C40" s="55">
        <f t="shared" si="1"/>
        <v>7.06</v>
      </c>
      <c r="D40" s="20">
        <v>7.06</v>
      </c>
      <c r="F40" s="45"/>
      <c r="G40" s="46"/>
      <c r="H40" s="47"/>
      <c r="I40" s="45"/>
      <c r="J40" s="46"/>
      <c r="K40" s="47"/>
      <c r="L40" s="45"/>
      <c r="M40" s="46"/>
      <c r="N40" s="47"/>
      <c r="O40" s="45"/>
      <c r="P40" s="46"/>
      <c r="Q40" s="47"/>
      <c r="S40" s="45"/>
      <c r="T40" s="46"/>
      <c r="U40" s="47"/>
      <c r="V40" s="45"/>
      <c r="W40" s="46"/>
      <c r="X40" s="47"/>
      <c r="Y40" s="45"/>
      <c r="Z40" s="46"/>
      <c r="AA40" s="47"/>
      <c r="AB40" s="45"/>
      <c r="AC40" s="46"/>
      <c r="AD40" s="47"/>
    </row>
    <row r="41" spans="1:30" x14ac:dyDescent="0.25">
      <c r="A41" s="17" t="str">
        <f>Info!$B$8</f>
        <v>Qwen3.5 9B</v>
      </c>
      <c r="B41" s="33">
        <v>8</v>
      </c>
      <c r="C41" s="21">
        <f t="shared" si="1"/>
        <v>7.21</v>
      </c>
      <c r="D41" s="22">
        <v>7.21</v>
      </c>
      <c r="F41" s="48"/>
      <c r="G41" s="15"/>
      <c r="H41" s="49"/>
      <c r="I41" s="48"/>
      <c r="J41" s="15"/>
      <c r="K41" s="49"/>
      <c r="L41" s="48"/>
      <c r="M41" s="15"/>
      <c r="N41" s="49"/>
      <c r="O41" s="48"/>
      <c r="P41" s="15"/>
      <c r="Q41" s="49"/>
      <c r="S41" s="48"/>
      <c r="T41" s="15"/>
      <c r="U41" s="49"/>
      <c r="V41" s="48"/>
      <c r="W41" s="15"/>
      <c r="X41" s="49"/>
      <c r="Y41" s="48"/>
      <c r="Z41" s="15"/>
      <c r="AA41" s="49"/>
      <c r="AB41" s="48"/>
      <c r="AC41" s="15"/>
      <c r="AD41" s="49"/>
    </row>
    <row r="42" spans="1:30" x14ac:dyDescent="0.25">
      <c r="A42" s="17" t="str">
        <f>Info!$B$8</f>
        <v>Qwen3.5 9B</v>
      </c>
      <c r="B42" s="33">
        <v>20</v>
      </c>
      <c r="C42" s="21">
        <f t="shared" si="1"/>
        <v>7.66</v>
      </c>
      <c r="D42" s="22">
        <v>7.66</v>
      </c>
      <c r="F42" s="48"/>
      <c r="G42" s="15"/>
      <c r="H42" s="49"/>
      <c r="I42" s="48"/>
      <c r="J42" s="15"/>
      <c r="K42" s="49"/>
      <c r="L42" s="48"/>
      <c r="M42" s="15"/>
      <c r="N42" s="49"/>
      <c r="O42" s="48"/>
      <c r="P42" s="15"/>
      <c r="Q42" s="49"/>
      <c r="S42" s="48"/>
      <c r="T42" s="15"/>
      <c r="U42" s="49"/>
      <c r="V42" s="48"/>
      <c r="W42" s="15"/>
      <c r="X42" s="49"/>
      <c r="Y42" s="48"/>
      <c r="Z42" s="15"/>
      <c r="AA42" s="49"/>
      <c r="AB42" s="48"/>
      <c r="AC42" s="15"/>
      <c r="AD42" s="49"/>
    </row>
    <row r="43" spans="1:30" x14ac:dyDescent="0.25">
      <c r="A43" s="17" t="str">
        <f>Info!$B$8</f>
        <v>Qwen3.5 9B</v>
      </c>
      <c r="B43" s="33">
        <v>50</v>
      </c>
      <c r="C43" s="21">
        <f t="shared" si="1"/>
        <v>8.7899999999999991</v>
      </c>
      <c r="D43" s="22">
        <v>8.7899999999999991</v>
      </c>
      <c r="F43" s="48"/>
      <c r="G43" s="15"/>
      <c r="H43" s="49"/>
      <c r="I43" s="48"/>
      <c r="J43" s="15"/>
      <c r="K43" s="49"/>
      <c r="L43" s="48"/>
      <c r="M43" s="15"/>
      <c r="N43" s="49"/>
      <c r="O43" s="48"/>
      <c r="P43" s="15"/>
      <c r="Q43" s="49"/>
      <c r="S43" s="48"/>
      <c r="T43" s="15"/>
      <c r="U43" s="49"/>
      <c r="V43" s="48"/>
      <c r="W43" s="15"/>
      <c r="X43" s="49"/>
      <c r="Y43" s="48"/>
      <c r="Z43" s="15"/>
      <c r="AA43" s="49"/>
      <c r="AB43" s="48"/>
      <c r="AC43" s="15"/>
      <c r="AD43" s="49"/>
    </row>
    <row r="44" spans="1:30" x14ac:dyDescent="0.25">
      <c r="A44" s="17" t="str">
        <f>Info!$B$8</f>
        <v>Qwen3.5 9B</v>
      </c>
      <c r="B44" s="33">
        <v>100</v>
      </c>
      <c r="C44" s="21">
        <f t="shared" si="1"/>
        <v>10.68</v>
      </c>
      <c r="D44" s="22">
        <v>10.68</v>
      </c>
      <c r="F44" s="48"/>
      <c r="G44" s="15"/>
      <c r="H44" s="49"/>
      <c r="I44" s="48"/>
      <c r="J44" s="15"/>
      <c r="K44" s="49"/>
      <c r="L44" s="48"/>
      <c r="M44" s="15"/>
      <c r="N44" s="49"/>
      <c r="O44" s="48"/>
      <c r="P44" s="15"/>
      <c r="Q44" s="49"/>
      <c r="S44" s="48"/>
      <c r="T44" s="15"/>
      <c r="U44" s="49"/>
      <c r="V44" s="48"/>
      <c r="W44" s="15"/>
      <c r="X44" s="49"/>
      <c r="Y44" s="48"/>
      <c r="Z44" s="15"/>
      <c r="AA44" s="49"/>
      <c r="AB44" s="48"/>
      <c r="AC44" s="15"/>
      <c r="AD44" s="49"/>
    </row>
    <row r="45" spans="1:30" ht="15.75" thickBot="1" x14ac:dyDescent="0.3">
      <c r="A45" s="18" t="str">
        <f>Info!$B$8</f>
        <v>Qwen3.5 9B</v>
      </c>
      <c r="B45" s="34">
        <v>150</v>
      </c>
      <c r="C45" s="54">
        <f t="shared" si="1"/>
        <v>12.57</v>
      </c>
      <c r="D45" s="23">
        <v>12.57</v>
      </c>
      <c r="F45" s="50"/>
      <c r="G45" s="51"/>
      <c r="H45" s="52"/>
      <c r="I45" s="50"/>
      <c r="J45" s="51"/>
      <c r="K45" s="52"/>
      <c r="L45" s="50"/>
      <c r="M45" s="51"/>
      <c r="N45" s="52"/>
      <c r="O45" s="50"/>
      <c r="P45" s="51"/>
      <c r="Q45" s="52"/>
      <c r="S45" s="50"/>
      <c r="T45" s="51"/>
      <c r="U45" s="52"/>
      <c r="V45" s="50"/>
      <c r="W45" s="51"/>
      <c r="X45" s="52"/>
      <c r="Y45" s="50"/>
      <c r="Z45" s="51"/>
      <c r="AA45" s="52"/>
      <c r="AB45" s="50"/>
      <c r="AC45" s="51"/>
      <c r="AD45" s="52"/>
    </row>
    <row r="46" spans="1:30" ht="5.0999999999999996" customHeight="1" thickBot="1" x14ac:dyDescent="0.3">
      <c r="B46" s="30"/>
      <c r="C46" s="56"/>
      <c r="D46" s="31"/>
    </row>
    <row r="47" spans="1:30" x14ac:dyDescent="0.25">
      <c r="A47" s="16" t="str">
        <f>Info!$B$9</f>
        <v>Glm 4.6v Flash</v>
      </c>
      <c r="B47" s="32">
        <v>4</v>
      </c>
      <c r="C47" s="55">
        <f t="shared" si="1"/>
        <v>7.88</v>
      </c>
      <c r="D47" s="20">
        <v>7.88</v>
      </c>
      <c r="F47" s="45"/>
      <c r="G47" s="46"/>
      <c r="H47" s="47"/>
      <c r="I47" s="45"/>
      <c r="J47" s="46"/>
      <c r="K47" s="47"/>
      <c r="L47" s="45"/>
      <c r="M47" s="46"/>
      <c r="N47" s="47"/>
      <c r="O47" s="45"/>
      <c r="P47" s="46"/>
      <c r="Q47" s="47"/>
      <c r="S47" s="45"/>
      <c r="T47" s="46"/>
      <c r="U47" s="47"/>
      <c r="V47" s="45"/>
      <c r="W47" s="46"/>
      <c r="X47" s="47"/>
      <c r="Y47" s="45"/>
      <c r="Z47" s="46"/>
      <c r="AA47" s="47"/>
      <c r="AB47" s="45"/>
      <c r="AC47" s="46"/>
      <c r="AD47" s="47"/>
    </row>
    <row r="48" spans="1:30" x14ac:dyDescent="0.25">
      <c r="A48" s="17" t="str">
        <f>Info!$B$9</f>
        <v>Glm 4.6v Flash</v>
      </c>
      <c r="B48" s="33">
        <v>8</v>
      </c>
      <c r="C48" s="21">
        <f t="shared" si="1"/>
        <v>7.96</v>
      </c>
      <c r="D48" s="22">
        <v>7.96</v>
      </c>
      <c r="F48" s="48"/>
      <c r="G48" s="15"/>
      <c r="H48" s="49"/>
      <c r="I48" s="48"/>
      <c r="J48" s="15"/>
      <c r="K48" s="49"/>
      <c r="L48" s="48"/>
      <c r="M48" s="15"/>
      <c r="N48" s="49"/>
      <c r="O48" s="48"/>
      <c r="P48" s="15"/>
      <c r="Q48" s="49"/>
      <c r="S48" s="48"/>
      <c r="T48" s="15"/>
      <c r="U48" s="49"/>
      <c r="V48" s="48"/>
      <c r="W48" s="15"/>
      <c r="X48" s="49"/>
      <c r="Y48" s="48"/>
      <c r="Z48" s="15"/>
      <c r="AA48" s="49"/>
      <c r="AB48" s="48"/>
      <c r="AC48" s="15"/>
      <c r="AD48" s="49"/>
    </row>
    <row r="49" spans="1:30" x14ac:dyDescent="0.25">
      <c r="A49" s="17" t="str">
        <f>Info!$B$9</f>
        <v>Glm 4.6v Flash</v>
      </c>
      <c r="B49" s="33">
        <v>20</v>
      </c>
      <c r="C49" s="21">
        <f t="shared" si="1"/>
        <v>8.18</v>
      </c>
      <c r="D49" s="22">
        <v>8.18</v>
      </c>
      <c r="F49" s="48"/>
      <c r="G49" s="15"/>
      <c r="H49" s="49"/>
      <c r="I49" s="48"/>
      <c r="J49" s="15"/>
      <c r="K49" s="49"/>
      <c r="L49" s="48"/>
      <c r="M49" s="15"/>
      <c r="N49" s="49"/>
      <c r="O49" s="48"/>
      <c r="P49" s="15"/>
      <c r="Q49" s="49"/>
      <c r="S49" s="48"/>
      <c r="T49" s="15"/>
      <c r="U49" s="49"/>
      <c r="V49" s="48"/>
      <c r="W49" s="15"/>
      <c r="X49" s="49"/>
      <c r="Y49" s="48"/>
      <c r="Z49" s="15"/>
      <c r="AA49" s="49"/>
      <c r="AB49" s="48"/>
      <c r="AC49" s="15"/>
      <c r="AD49" s="49"/>
    </row>
    <row r="50" spans="1:30" x14ac:dyDescent="0.25">
      <c r="A50" s="17" t="str">
        <f>Info!$B$9</f>
        <v>Glm 4.6v Flash</v>
      </c>
      <c r="B50" s="33">
        <v>50</v>
      </c>
      <c r="C50" s="21">
        <f t="shared" si="1"/>
        <v>8.75</v>
      </c>
      <c r="D50" s="22">
        <v>8.75</v>
      </c>
      <c r="F50" s="48"/>
      <c r="G50" s="15"/>
      <c r="H50" s="49"/>
      <c r="I50" s="48"/>
      <c r="J50" s="15"/>
      <c r="K50" s="49"/>
      <c r="L50" s="48"/>
      <c r="M50" s="15"/>
      <c r="N50" s="49"/>
      <c r="O50" s="48"/>
      <c r="P50" s="15"/>
      <c r="Q50" s="49"/>
      <c r="S50" s="48"/>
      <c r="T50" s="15"/>
      <c r="U50" s="49"/>
      <c r="V50" s="48"/>
      <c r="W50" s="15"/>
      <c r="X50" s="49"/>
      <c r="Y50" s="48"/>
      <c r="Z50" s="15"/>
      <c r="AA50" s="49"/>
      <c r="AB50" s="48"/>
      <c r="AC50" s="15"/>
      <c r="AD50" s="49"/>
    </row>
    <row r="51" spans="1:30" x14ac:dyDescent="0.25">
      <c r="A51" s="17" t="str">
        <f>Info!$B$9</f>
        <v>Glm 4.6v Flash</v>
      </c>
      <c r="B51" s="33">
        <v>100</v>
      </c>
      <c r="C51" s="21">
        <f t="shared" si="1"/>
        <v>9.6999999999999993</v>
      </c>
      <c r="D51" s="22">
        <v>9.6999999999999993</v>
      </c>
      <c r="F51" s="48"/>
      <c r="G51" s="15"/>
      <c r="H51" s="49"/>
      <c r="I51" s="48"/>
      <c r="J51" s="15"/>
      <c r="K51" s="49"/>
      <c r="L51" s="48"/>
      <c r="M51" s="15"/>
      <c r="N51" s="49"/>
      <c r="O51" s="48"/>
      <c r="P51" s="15"/>
      <c r="Q51" s="49"/>
      <c r="S51" s="48"/>
      <c r="T51" s="15"/>
      <c r="U51" s="49"/>
      <c r="V51" s="48"/>
      <c r="W51" s="15"/>
      <c r="X51" s="49"/>
      <c r="Y51" s="48"/>
      <c r="Z51" s="15"/>
      <c r="AA51" s="49"/>
      <c r="AB51" s="48"/>
      <c r="AC51" s="15"/>
      <c r="AD51" s="49"/>
    </row>
    <row r="52" spans="1:30" ht="15.75" thickBot="1" x14ac:dyDescent="0.3">
      <c r="A52" s="18" t="str">
        <f>Info!$B$9</f>
        <v>Glm 4.6v Flash</v>
      </c>
      <c r="B52" s="34">
        <v>150</v>
      </c>
      <c r="C52" s="54" t="s">
        <v>75</v>
      </c>
      <c r="D52" s="23" t="s">
        <v>75</v>
      </c>
      <c r="F52" s="50"/>
      <c r="G52" s="51"/>
      <c r="H52" s="52"/>
      <c r="I52" s="50"/>
      <c r="J52" s="51"/>
      <c r="K52" s="52"/>
      <c r="L52" s="50"/>
      <c r="M52" s="51"/>
      <c r="N52" s="52"/>
      <c r="O52" s="50"/>
      <c r="P52" s="51"/>
      <c r="Q52" s="52"/>
      <c r="S52" s="50"/>
      <c r="T52" s="51"/>
      <c r="U52" s="52"/>
      <c r="V52" s="50"/>
      <c r="W52" s="51"/>
      <c r="X52" s="52"/>
      <c r="Y52" s="50"/>
      <c r="Z52" s="51"/>
      <c r="AA52" s="52"/>
      <c r="AB52" s="50"/>
      <c r="AC52" s="51"/>
      <c r="AD52" s="52"/>
    </row>
    <row r="53" spans="1:30" ht="5.0999999999999996" customHeight="1" thickBot="1" x14ac:dyDescent="0.3">
      <c r="C53" s="56"/>
    </row>
    <row r="54" spans="1:30" x14ac:dyDescent="0.25">
      <c r="A54" s="16" t="str">
        <f>Info!$B$10</f>
        <v>Qwen2.5 14B Instruct</v>
      </c>
      <c r="B54" s="32">
        <v>4</v>
      </c>
      <c r="C54" s="55">
        <f t="shared" si="1"/>
        <v>9.19</v>
      </c>
      <c r="D54" s="20">
        <v>9.19</v>
      </c>
      <c r="F54" s="45"/>
      <c r="G54" s="46"/>
      <c r="H54" s="47"/>
      <c r="I54" s="45"/>
      <c r="J54" s="46"/>
      <c r="K54" s="47"/>
      <c r="L54" s="45"/>
      <c r="M54" s="46"/>
      <c r="N54" s="47"/>
      <c r="O54" s="45"/>
      <c r="P54" s="46"/>
      <c r="Q54" s="47"/>
      <c r="S54" s="45"/>
      <c r="T54" s="46"/>
      <c r="U54" s="47"/>
      <c r="V54" s="45"/>
      <c r="W54" s="46"/>
      <c r="X54" s="47"/>
      <c r="Y54" s="45"/>
      <c r="Z54" s="46"/>
      <c r="AA54" s="47"/>
      <c r="AB54" s="45"/>
      <c r="AC54" s="46"/>
      <c r="AD54" s="47"/>
    </row>
    <row r="55" spans="1:30" x14ac:dyDescent="0.25">
      <c r="A55" s="17" t="str">
        <f>Info!$B$10</f>
        <v>Qwen2.5 14B Instruct</v>
      </c>
      <c r="B55" s="33">
        <v>8</v>
      </c>
      <c r="C55" s="21">
        <f t="shared" si="1"/>
        <v>9.5399999999999991</v>
      </c>
      <c r="D55" s="22">
        <v>9.5399999999999991</v>
      </c>
      <c r="F55" s="48"/>
      <c r="G55" s="15"/>
      <c r="H55" s="49"/>
      <c r="I55" s="48"/>
      <c r="J55" s="15"/>
      <c r="K55" s="49"/>
      <c r="L55" s="48"/>
      <c r="M55" s="15"/>
      <c r="N55" s="49"/>
      <c r="O55" s="48"/>
      <c r="P55" s="15"/>
      <c r="Q55" s="49"/>
      <c r="S55" s="48"/>
      <c r="T55" s="15"/>
      <c r="U55" s="49"/>
      <c r="V55" s="48"/>
      <c r="W55" s="15"/>
      <c r="X55" s="49"/>
      <c r="Y55" s="48"/>
      <c r="Z55" s="15"/>
      <c r="AA55" s="49"/>
      <c r="AB55" s="48"/>
      <c r="AC55" s="15"/>
      <c r="AD55" s="49"/>
    </row>
    <row r="56" spans="1:30" x14ac:dyDescent="0.25">
      <c r="A56" s="17" t="str">
        <f>Info!$B$10</f>
        <v>Qwen2.5 14B Instruct</v>
      </c>
      <c r="B56" s="33">
        <v>20</v>
      </c>
      <c r="C56" s="21">
        <f t="shared" si="1"/>
        <v>10.62</v>
      </c>
      <c r="D56" s="22">
        <v>10.62</v>
      </c>
      <c r="F56" s="48"/>
      <c r="G56" s="15"/>
      <c r="H56" s="49"/>
      <c r="I56" s="48"/>
      <c r="J56" s="15"/>
      <c r="K56" s="49"/>
      <c r="L56" s="48"/>
      <c r="M56" s="15"/>
      <c r="N56" s="49"/>
      <c r="O56" s="48"/>
      <c r="P56" s="15"/>
      <c r="Q56" s="49"/>
      <c r="S56" s="48"/>
      <c r="T56" s="15"/>
      <c r="U56" s="49"/>
      <c r="V56" s="48"/>
      <c r="W56" s="15"/>
      <c r="X56" s="49"/>
      <c r="Y56" s="48"/>
      <c r="Z56" s="15"/>
      <c r="AA56" s="49"/>
      <c r="AB56" s="48"/>
      <c r="AC56" s="15"/>
      <c r="AD56" s="49"/>
    </row>
    <row r="57" spans="1:30" x14ac:dyDescent="0.25">
      <c r="A57" s="17" t="str">
        <f>Info!$B$10</f>
        <v>Qwen2.5 14B Instruct</v>
      </c>
      <c r="B57" s="33">
        <v>50</v>
      </c>
      <c r="C57" s="21" t="s">
        <v>75</v>
      </c>
      <c r="D57" s="22" t="s">
        <v>75</v>
      </c>
      <c r="F57" s="48"/>
      <c r="G57" s="15"/>
      <c r="H57" s="49"/>
      <c r="I57" s="48"/>
      <c r="J57" s="15"/>
      <c r="K57" s="49"/>
      <c r="L57" s="48"/>
      <c r="M57" s="15"/>
      <c r="N57" s="49"/>
      <c r="O57" s="48"/>
      <c r="P57" s="15"/>
      <c r="Q57" s="49"/>
      <c r="S57" s="48"/>
      <c r="T57" s="15"/>
      <c r="U57" s="49"/>
      <c r="V57" s="48"/>
      <c r="W57" s="15"/>
      <c r="X57" s="49"/>
      <c r="Y57" s="48"/>
      <c r="Z57" s="15"/>
      <c r="AA57" s="49"/>
      <c r="AB57" s="48"/>
      <c r="AC57" s="15"/>
      <c r="AD57" s="49"/>
    </row>
    <row r="58" spans="1:30" x14ac:dyDescent="0.25">
      <c r="A58" s="17" t="str">
        <f>Info!$B$10</f>
        <v>Qwen2.5 14B Instruct</v>
      </c>
      <c r="B58" s="33">
        <v>100</v>
      </c>
      <c r="C58" s="21" t="s">
        <v>75</v>
      </c>
      <c r="D58" s="22" t="s">
        <v>75</v>
      </c>
      <c r="F58" s="48"/>
      <c r="G58" s="15"/>
      <c r="H58" s="49"/>
      <c r="I58" s="48"/>
      <c r="J58" s="15"/>
      <c r="K58" s="49"/>
      <c r="L58" s="48"/>
      <c r="M58" s="15"/>
      <c r="N58" s="49"/>
      <c r="O58" s="48"/>
      <c r="P58" s="15"/>
      <c r="Q58" s="49"/>
      <c r="S58" s="48"/>
      <c r="T58" s="15"/>
      <c r="U58" s="49"/>
      <c r="V58" s="48"/>
      <c r="W58" s="15"/>
      <c r="X58" s="49"/>
      <c r="Y58" s="48"/>
      <c r="Z58" s="15"/>
      <c r="AA58" s="49"/>
      <c r="AB58" s="48"/>
      <c r="AC58" s="15"/>
      <c r="AD58" s="49"/>
    </row>
    <row r="59" spans="1:30" ht="15.75" thickBot="1" x14ac:dyDescent="0.3">
      <c r="A59" s="18" t="str">
        <f>Info!$B$10</f>
        <v>Qwen2.5 14B Instruct</v>
      </c>
      <c r="B59" s="34">
        <v>150</v>
      </c>
      <c r="C59" s="54" t="s">
        <v>75</v>
      </c>
      <c r="D59" s="23" t="s">
        <v>75</v>
      </c>
      <c r="F59" s="50"/>
      <c r="G59" s="51"/>
      <c r="H59" s="52"/>
      <c r="I59" s="50"/>
      <c r="J59" s="51"/>
      <c r="K59" s="52"/>
      <c r="L59" s="50"/>
      <c r="M59" s="51"/>
      <c r="N59" s="52"/>
      <c r="O59" s="50"/>
      <c r="P59" s="51"/>
      <c r="Q59" s="52"/>
      <c r="S59" s="50"/>
      <c r="T59" s="51"/>
      <c r="U59" s="52"/>
      <c r="V59" s="50"/>
      <c r="W59" s="51"/>
      <c r="X59" s="52"/>
      <c r="Y59" s="50"/>
      <c r="Z59" s="51"/>
      <c r="AA59" s="52"/>
      <c r="AB59" s="50"/>
      <c r="AC59" s="51"/>
      <c r="AD59" s="52"/>
    </row>
    <row r="60" spans="1:30" ht="5.0999999999999996" customHeight="1" thickBot="1" x14ac:dyDescent="0.3">
      <c r="C60" s="56"/>
    </row>
    <row r="61" spans="1:30" x14ac:dyDescent="0.25">
      <c r="A61" s="16" t="str">
        <f>Info!$B$11</f>
        <v>Ministral 3 14B Reasoning</v>
      </c>
      <c r="B61" s="32">
        <v>4</v>
      </c>
      <c r="C61" s="55">
        <f t="shared" si="1"/>
        <v>9.33</v>
      </c>
      <c r="D61" s="20">
        <v>9.33</v>
      </c>
      <c r="F61" s="45"/>
      <c r="G61" s="46"/>
      <c r="H61" s="47"/>
      <c r="I61" s="45"/>
      <c r="J61" s="46"/>
      <c r="K61" s="47"/>
      <c r="L61" s="45"/>
      <c r="M61" s="46"/>
      <c r="N61" s="47"/>
      <c r="O61" s="45"/>
      <c r="P61" s="46"/>
      <c r="Q61" s="47"/>
      <c r="S61" s="45"/>
      <c r="T61" s="46"/>
      <c r="U61" s="47"/>
      <c r="V61" s="45"/>
      <c r="W61" s="46"/>
      <c r="X61" s="47"/>
      <c r="Y61" s="45"/>
      <c r="Z61" s="46"/>
      <c r="AA61" s="47"/>
      <c r="AB61" s="45"/>
      <c r="AC61" s="46"/>
      <c r="AD61" s="47"/>
    </row>
    <row r="62" spans="1:30" x14ac:dyDescent="0.25">
      <c r="A62" s="17" t="str">
        <f>Info!$B$11</f>
        <v>Ministral 3 14B Reasoning</v>
      </c>
      <c r="B62" s="33">
        <v>8</v>
      </c>
      <c r="C62" s="21">
        <f t="shared" si="1"/>
        <v>9.6999999999999993</v>
      </c>
      <c r="D62" s="22">
        <v>9.6999999999999993</v>
      </c>
      <c r="F62" s="48"/>
      <c r="G62" s="15"/>
      <c r="H62" s="49"/>
      <c r="I62" s="48"/>
      <c r="J62" s="15"/>
      <c r="K62" s="49"/>
      <c r="L62" s="48"/>
      <c r="M62" s="15"/>
      <c r="N62" s="49"/>
      <c r="O62" s="48"/>
      <c r="P62" s="15"/>
      <c r="Q62" s="49"/>
      <c r="S62" s="48"/>
      <c r="T62" s="15"/>
      <c r="U62" s="49"/>
      <c r="V62" s="48"/>
      <c r="W62" s="15"/>
      <c r="X62" s="49"/>
      <c r="Y62" s="48"/>
      <c r="Z62" s="15"/>
      <c r="AA62" s="49"/>
      <c r="AB62" s="48"/>
      <c r="AC62" s="15"/>
      <c r="AD62" s="49"/>
    </row>
    <row r="63" spans="1:30" x14ac:dyDescent="0.25">
      <c r="A63" s="17" t="str">
        <f>Info!$B$11</f>
        <v>Ministral 3 14B Reasoning</v>
      </c>
      <c r="B63" s="33">
        <v>20</v>
      </c>
      <c r="C63" s="21">
        <f t="shared" si="1"/>
        <v>10.83</v>
      </c>
      <c r="D63" s="22">
        <v>10.83</v>
      </c>
      <c r="F63" s="48"/>
      <c r="G63" s="15"/>
      <c r="H63" s="49"/>
      <c r="I63" s="48"/>
      <c r="J63" s="15"/>
      <c r="K63" s="49"/>
      <c r="L63" s="48"/>
      <c r="M63" s="15"/>
      <c r="N63" s="49"/>
      <c r="O63" s="48"/>
      <c r="P63" s="15"/>
      <c r="Q63" s="49"/>
      <c r="S63" s="48"/>
      <c r="T63" s="15"/>
      <c r="U63" s="49"/>
      <c r="V63" s="48"/>
      <c r="W63" s="15"/>
      <c r="X63" s="49"/>
      <c r="Y63" s="48"/>
      <c r="Z63" s="15"/>
      <c r="AA63" s="49"/>
      <c r="AB63" s="48"/>
      <c r="AC63" s="15"/>
      <c r="AD63" s="49"/>
    </row>
    <row r="64" spans="1:30" x14ac:dyDescent="0.25">
      <c r="A64" s="17" t="str">
        <f>Info!$B$11</f>
        <v>Ministral 3 14B Reasoning</v>
      </c>
      <c r="B64" s="33">
        <v>50</v>
      </c>
      <c r="C64" s="21">
        <f t="shared" si="1"/>
        <v>13.65</v>
      </c>
      <c r="D64" s="22">
        <v>13.65</v>
      </c>
      <c r="F64" s="48"/>
      <c r="G64" s="15"/>
      <c r="H64" s="49"/>
      <c r="I64" s="48"/>
      <c r="J64" s="15"/>
      <c r="K64" s="49"/>
      <c r="L64" s="48"/>
      <c r="M64" s="15"/>
      <c r="N64" s="49"/>
      <c r="O64" s="48"/>
      <c r="P64" s="15"/>
      <c r="Q64" s="49"/>
      <c r="S64" s="48"/>
      <c r="T64" s="15"/>
      <c r="U64" s="49"/>
      <c r="V64" s="48"/>
      <c r="W64" s="15"/>
      <c r="X64" s="49"/>
      <c r="Y64" s="48"/>
      <c r="Z64" s="15"/>
      <c r="AA64" s="49"/>
      <c r="AB64" s="48"/>
      <c r="AC64" s="15"/>
      <c r="AD64" s="49"/>
    </row>
    <row r="65" spans="1:30" x14ac:dyDescent="0.25">
      <c r="A65" s="17" t="str">
        <f>Info!$B$11</f>
        <v>Ministral 3 14B Reasoning</v>
      </c>
      <c r="B65" s="33">
        <v>100</v>
      </c>
      <c r="C65" s="21">
        <f t="shared" si="1"/>
        <v>16</v>
      </c>
      <c r="D65" s="22">
        <v>18.34</v>
      </c>
      <c r="F65" s="48"/>
      <c r="G65" s="15"/>
      <c r="H65" s="49"/>
      <c r="I65" s="48"/>
      <c r="J65" s="15"/>
      <c r="K65" s="49"/>
      <c r="L65" s="48"/>
      <c r="M65" s="15"/>
      <c r="N65" s="49"/>
      <c r="O65" s="48"/>
      <c r="P65" s="15"/>
      <c r="Q65" s="49"/>
      <c r="S65" s="48"/>
      <c r="T65" s="15"/>
      <c r="U65" s="49"/>
      <c r="V65" s="48"/>
      <c r="W65" s="15"/>
      <c r="X65" s="49"/>
      <c r="Y65" s="48"/>
      <c r="Z65" s="15"/>
      <c r="AA65" s="49"/>
      <c r="AB65" s="48"/>
      <c r="AC65" s="15"/>
      <c r="AD65" s="49"/>
    </row>
    <row r="66" spans="1:30" ht="15.75" thickBot="1" x14ac:dyDescent="0.3">
      <c r="A66" s="18" t="str">
        <f>Info!$B$11</f>
        <v>Ministral 3 14B Reasoning</v>
      </c>
      <c r="B66" s="34">
        <v>150</v>
      </c>
      <c r="C66" s="54">
        <f t="shared" si="1"/>
        <v>16</v>
      </c>
      <c r="D66" s="23">
        <v>23.04</v>
      </c>
      <c r="F66" s="50"/>
      <c r="G66" s="51"/>
      <c r="H66" s="52"/>
      <c r="I66" s="50"/>
      <c r="J66" s="51"/>
      <c r="K66" s="52"/>
      <c r="L66" s="50"/>
      <c r="M66" s="51"/>
      <c r="N66" s="52"/>
      <c r="O66" s="50"/>
      <c r="P66" s="51"/>
      <c r="Q66" s="52"/>
      <c r="S66" s="50"/>
      <c r="T66" s="51"/>
      <c r="U66" s="52"/>
      <c r="V66" s="50"/>
      <c r="W66" s="51"/>
      <c r="X66" s="52"/>
      <c r="Y66" s="50"/>
      <c r="Z66" s="51"/>
      <c r="AA66" s="52"/>
      <c r="AB66" s="50"/>
      <c r="AC66" s="51"/>
      <c r="AD66" s="52"/>
    </row>
    <row r="67" spans="1:30" ht="5.0999999999999996" customHeight="1" thickBot="1" x14ac:dyDescent="0.3">
      <c r="C67" s="56"/>
    </row>
    <row r="68" spans="1:30" x14ac:dyDescent="0.25">
      <c r="A68" s="16" t="str">
        <f>Info!$B$12</f>
        <v>GPT-OSS 20B</v>
      </c>
      <c r="B68" s="32">
        <v>4</v>
      </c>
      <c r="C68" s="55">
        <f t="shared" si="1"/>
        <v>11.95</v>
      </c>
      <c r="D68" s="20">
        <v>11.95</v>
      </c>
      <c r="F68" s="45"/>
      <c r="G68" s="46"/>
      <c r="H68" s="47"/>
      <c r="I68" s="45"/>
      <c r="J68" s="46"/>
      <c r="K68" s="47"/>
      <c r="L68" s="45"/>
      <c r="M68" s="46"/>
      <c r="N68" s="47"/>
      <c r="O68" s="45"/>
      <c r="P68" s="46"/>
      <c r="Q68" s="47"/>
      <c r="S68" s="45"/>
      <c r="T68" s="46"/>
      <c r="U68" s="47"/>
      <c r="V68" s="45"/>
      <c r="W68" s="46"/>
      <c r="X68" s="47"/>
      <c r="Y68" s="45"/>
      <c r="Z68" s="46"/>
      <c r="AA68" s="47"/>
      <c r="AB68" s="45"/>
      <c r="AC68" s="46"/>
      <c r="AD68" s="47"/>
    </row>
    <row r="69" spans="1:30" x14ac:dyDescent="0.25">
      <c r="A69" s="17" t="str">
        <f>Info!$B$12</f>
        <v>GPT-OSS 20B</v>
      </c>
      <c r="B69" s="33">
        <v>8</v>
      </c>
      <c r="C69" s="21">
        <f t="shared" si="1"/>
        <v>12.01</v>
      </c>
      <c r="D69" s="22">
        <v>12.01</v>
      </c>
      <c r="F69" s="48"/>
      <c r="G69" s="15"/>
      <c r="H69" s="49"/>
      <c r="I69" s="48"/>
      <c r="J69" s="15"/>
      <c r="K69" s="49"/>
      <c r="L69" s="48"/>
      <c r="M69" s="15"/>
      <c r="N69" s="49"/>
      <c r="O69" s="48"/>
      <c r="P69" s="15"/>
      <c r="Q69" s="49"/>
      <c r="S69" s="48"/>
      <c r="T69" s="15"/>
      <c r="U69" s="49"/>
      <c r="V69" s="48"/>
      <c r="W69" s="15"/>
      <c r="X69" s="49"/>
      <c r="Y69" s="48"/>
      <c r="Z69" s="15"/>
      <c r="AA69" s="49"/>
      <c r="AB69" s="48"/>
      <c r="AC69" s="15"/>
      <c r="AD69" s="49"/>
    </row>
    <row r="70" spans="1:30" x14ac:dyDescent="0.25">
      <c r="A70" s="17" t="str">
        <f>Info!$B$12</f>
        <v>GPT-OSS 20B</v>
      </c>
      <c r="B70" s="33">
        <v>20</v>
      </c>
      <c r="C70" s="21">
        <f t="shared" si="1"/>
        <v>12.2</v>
      </c>
      <c r="D70" s="22">
        <v>12.2</v>
      </c>
      <c r="F70" s="48"/>
      <c r="G70" s="15"/>
      <c r="H70" s="49"/>
      <c r="I70" s="48"/>
      <c r="J70" s="15"/>
      <c r="K70" s="49"/>
      <c r="L70" s="48"/>
      <c r="M70" s="15"/>
      <c r="N70" s="49"/>
      <c r="O70" s="48"/>
      <c r="P70" s="15"/>
      <c r="Q70" s="49"/>
      <c r="S70" s="48"/>
      <c r="T70" s="15"/>
      <c r="U70" s="49"/>
      <c r="V70" s="48"/>
      <c r="W70" s="15"/>
      <c r="X70" s="49"/>
      <c r="Y70" s="48"/>
      <c r="Z70" s="15"/>
      <c r="AA70" s="49"/>
      <c r="AB70" s="48"/>
      <c r="AC70" s="15"/>
      <c r="AD70" s="49"/>
    </row>
    <row r="71" spans="1:30" x14ac:dyDescent="0.25">
      <c r="A71" s="17" t="str">
        <f>Info!$B$12</f>
        <v>GPT-OSS 20B</v>
      </c>
      <c r="B71" s="33">
        <v>50</v>
      </c>
      <c r="C71" s="21">
        <f t="shared" si="1"/>
        <v>12.68</v>
      </c>
      <c r="D71" s="22">
        <v>12.68</v>
      </c>
      <c r="F71" s="48"/>
      <c r="G71" s="15"/>
      <c r="H71" s="49"/>
      <c r="I71" s="48"/>
      <c r="J71" s="15"/>
      <c r="K71" s="49"/>
      <c r="L71" s="48"/>
      <c r="M71" s="15"/>
      <c r="N71" s="49"/>
      <c r="O71" s="48"/>
      <c r="P71" s="15"/>
      <c r="Q71" s="49"/>
      <c r="S71" s="48"/>
      <c r="T71" s="15"/>
      <c r="U71" s="49"/>
      <c r="V71" s="48"/>
      <c r="W71" s="15"/>
      <c r="X71" s="49"/>
      <c r="Y71" s="48"/>
      <c r="Z71" s="15"/>
      <c r="AA71" s="49"/>
      <c r="AB71" s="48"/>
      <c r="AC71" s="15"/>
      <c r="AD71" s="49"/>
    </row>
    <row r="72" spans="1:30" x14ac:dyDescent="0.25">
      <c r="A72" s="17" t="str">
        <f>Info!$B$12</f>
        <v>GPT-OSS 20B</v>
      </c>
      <c r="B72" s="33">
        <v>100</v>
      </c>
      <c r="C72" s="21">
        <f t="shared" si="1"/>
        <v>13.49</v>
      </c>
      <c r="D72" s="22">
        <v>13.49</v>
      </c>
      <c r="F72" s="48"/>
      <c r="G72" s="15"/>
      <c r="H72" s="49"/>
      <c r="I72" s="48"/>
      <c r="J72" s="15"/>
      <c r="K72" s="49"/>
      <c r="L72" s="48"/>
      <c r="M72" s="15"/>
      <c r="N72" s="49"/>
      <c r="O72" s="48"/>
      <c r="P72" s="15"/>
      <c r="Q72" s="49"/>
      <c r="S72" s="48"/>
      <c r="T72" s="15"/>
      <c r="U72" s="49"/>
      <c r="V72" s="48"/>
      <c r="W72" s="15"/>
      <c r="X72" s="49"/>
      <c r="Y72" s="48"/>
      <c r="Z72" s="15"/>
      <c r="AA72" s="49"/>
      <c r="AB72" s="48"/>
      <c r="AC72" s="15"/>
      <c r="AD72" s="49"/>
    </row>
    <row r="73" spans="1:30" ht="15.75" thickBot="1" x14ac:dyDescent="0.3">
      <c r="A73" s="18" t="str">
        <f>Info!$B$12</f>
        <v>GPT-OSS 20B</v>
      </c>
      <c r="B73" s="34">
        <v>150</v>
      </c>
      <c r="C73" s="54" t="s">
        <v>75</v>
      </c>
      <c r="D73" s="23" t="s">
        <v>75</v>
      </c>
      <c r="F73" s="50"/>
      <c r="G73" s="51"/>
      <c r="H73" s="52"/>
      <c r="I73" s="50"/>
      <c r="J73" s="51"/>
      <c r="K73" s="52"/>
      <c r="L73" s="50"/>
      <c r="M73" s="51"/>
      <c r="N73" s="52"/>
      <c r="O73" s="50"/>
      <c r="P73" s="51"/>
      <c r="Q73" s="52"/>
      <c r="S73" s="50"/>
      <c r="T73" s="51"/>
      <c r="U73" s="52"/>
      <c r="V73" s="50"/>
      <c r="W73" s="51"/>
      <c r="X73" s="52"/>
      <c r="Y73" s="50"/>
      <c r="Z73" s="51"/>
      <c r="AA73" s="52"/>
      <c r="AB73" s="50"/>
      <c r="AC73" s="51"/>
      <c r="AD73" s="52"/>
    </row>
    <row r="74" spans="1:30" ht="5.0999999999999996" customHeight="1" thickBot="1" x14ac:dyDescent="0.3">
      <c r="C74" s="56"/>
    </row>
    <row r="75" spans="1:30" x14ac:dyDescent="0.25">
      <c r="A75" s="16" t="str">
        <f>Info!$B$13</f>
        <v>Gemma 3 27B</v>
      </c>
      <c r="B75" s="32">
        <v>4</v>
      </c>
      <c r="C75" s="55">
        <f t="shared" si="1"/>
        <v>12.89</v>
      </c>
      <c r="D75" s="20">
        <v>12.89</v>
      </c>
      <c r="F75" s="45"/>
      <c r="G75" s="46"/>
      <c r="H75" s="47"/>
      <c r="I75" s="45"/>
      <c r="J75" s="46"/>
      <c r="K75" s="47"/>
      <c r="L75" s="45"/>
      <c r="M75" s="46"/>
      <c r="N75" s="47"/>
      <c r="O75" s="45"/>
      <c r="P75" s="46"/>
      <c r="Q75" s="47"/>
      <c r="S75" s="45"/>
      <c r="T75" s="46"/>
      <c r="U75" s="47"/>
      <c r="V75" s="45"/>
      <c r="W75" s="46"/>
      <c r="X75" s="47"/>
      <c r="Y75" s="45"/>
      <c r="Z75" s="46"/>
      <c r="AA75" s="47"/>
      <c r="AB75" s="45"/>
      <c r="AC75" s="46"/>
      <c r="AD75" s="47"/>
    </row>
    <row r="76" spans="1:30" x14ac:dyDescent="0.25">
      <c r="A76" s="17" t="str">
        <f>Info!$B$13</f>
        <v>Gemma 3 27B</v>
      </c>
      <c r="B76" s="33">
        <v>8</v>
      </c>
      <c r="C76" s="21">
        <f t="shared" si="1"/>
        <v>13.77</v>
      </c>
      <c r="D76" s="22">
        <v>13.77</v>
      </c>
      <c r="F76" s="48"/>
      <c r="G76" s="15"/>
      <c r="H76" s="49"/>
      <c r="I76" s="48"/>
      <c r="J76" s="15"/>
      <c r="K76" s="49"/>
      <c r="L76" s="48"/>
      <c r="M76" s="15"/>
      <c r="N76" s="49"/>
      <c r="O76" s="48"/>
      <c r="P76" s="15"/>
      <c r="Q76" s="49"/>
      <c r="S76" s="48"/>
      <c r="T76" s="15"/>
      <c r="U76" s="49"/>
      <c r="V76" s="48"/>
      <c r="W76" s="15"/>
      <c r="X76" s="49"/>
      <c r="Y76" s="48"/>
      <c r="Z76" s="15"/>
      <c r="AA76" s="49"/>
      <c r="AB76" s="48"/>
      <c r="AC76" s="15"/>
      <c r="AD76" s="49"/>
    </row>
    <row r="77" spans="1:30" x14ac:dyDescent="0.25">
      <c r="A77" s="17" t="str">
        <f>Info!$B$13</f>
        <v>Gemma 3 27B</v>
      </c>
      <c r="B77" s="33">
        <v>20</v>
      </c>
      <c r="C77" s="21">
        <f t="shared" si="1"/>
        <v>16</v>
      </c>
      <c r="D77" s="22">
        <v>16.489999999999998</v>
      </c>
      <c r="F77" s="48"/>
      <c r="G77" s="15"/>
      <c r="H77" s="49"/>
      <c r="I77" s="48"/>
      <c r="J77" s="15"/>
      <c r="K77" s="49"/>
      <c r="L77" s="48"/>
      <c r="M77" s="15"/>
      <c r="N77" s="49"/>
      <c r="O77" s="48"/>
      <c r="P77" s="15"/>
      <c r="Q77" s="49"/>
      <c r="S77" s="48"/>
      <c r="T77" s="15"/>
      <c r="U77" s="49"/>
      <c r="V77" s="48"/>
      <c r="W77" s="15"/>
      <c r="X77" s="49"/>
      <c r="Y77" s="48"/>
      <c r="Z77" s="15"/>
      <c r="AA77" s="49"/>
      <c r="AB77" s="48"/>
      <c r="AC77" s="15"/>
      <c r="AD77" s="49"/>
    </row>
    <row r="78" spans="1:30" x14ac:dyDescent="0.25">
      <c r="A78" s="17" t="str">
        <f>Info!$B$13</f>
        <v>Gemma 3 27B</v>
      </c>
      <c r="B78" s="33">
        <v>50</v>
      </c>
      <c r="C78" s="21">
        <f t="shared" si="1"/>
        <v>16</v>
      </c>
      <c r="D78" s="22">
        <v>23.29</v>
      </c>
      <c r="F78" s="48"/>
      <c r="G78" s="15"/>
      <c r="H78" s="49"/>
      <c r="I78" s="48"/>
      <c r="J78" s="15"/>
      <c r="K78" s="49"/>
      <c r="L78" s="48"/>
      <c r="M78" s="15"/>
      <c r="N78" s="49"/>
      <c r="O78" s="48"/>
      <c r="P78" s="15"/>
      <c r="Q78" s="49"/>
      <c r="S78" s="48"/>
      <c r="T78" s="15"/>
      <c r="U78" s="49"/>
      <c r="V78" s="48"/>
      <c r="W78" s="15"/>
      <c r="X78" s="49"/>
      <c r="Y78" s="48"/>
      <c r="Z78" s="15"/>
      <c r="AA78" s="49"/>
      <c r="AB78" s="48"/>
      <c r="AC78" s="15"/>
      <c r="AD78" s="49"/>
    </row>
    <row r="79" spans="1:30" x14ac:dyDescent="0.25">
      <c r="A79" s="17" t="str">
        <f>Info!$B$13</f>
        <v>Gemma 3 27B</v>
      </c>
      <c r="B79" s="33">
        <v>100</v>
      </c>
      <c r="C79" s="21">
        <f t="shared" si="1"/>
        <v>16</v>
      </c>
      <c r="D79" s="22">
        <v>34.619999999999997</v>
      </c>
      <c r="F79" s="48"/>
      <c r="G79" s="15"/>
      <c r="H79" s="49"/>
      <c r="I79" s="48"/>
      <c r="J79" s="15"/>
      <c r="K79" s="49"/>
      <c r="L79" s="48"/>
      <c r="M79" s="15"/>
      <c r="N79" s="49"/>
      <c r="O79" s="48"/>
      <c r="P79" s="15"/>
      <c r="Q79" s="49"/>
      <c r="S79" s="48"/>
      <c r="T79" s="15"/>
      <c r="U79" s="49"/>
      <c r="V79" s="48"/>
      <c r="W79" s="15"/>
      <c r="X79" s="49"/>
      <c r="Y79" s="48"/>
      <c r="Z79" s="15"/>
      <c r="AA79" s="49"/>
      <c r="AB79" s="48"/>
      <c r="AC79" s="15"/>
      <c r="AD79" s="49"/>
    </row>
    <row r="80" spans="1:30" ht="15.75" thickBot="1" x14ac:dyDescent="0.3">
      <c r="A80" s="18" t="str">
        <f>Info!$B$13</f>
        <v>Gemma 3 27B</v>
      </c>
      <c r="B80" s="34">
        <v>150</v>
      </c>
      <c r="C80" s="54" t="s">
        <v>75</v>
      </c>
      <c r="D80" s="23" t="s">
        <v>75</v>
      </c>
      <c r="F80" s="50"/>
      <c r="G80" s="51"/>
      <c r="H80" s="52"/>
      <c r="I80" s="50"/>
      <c r="J80" s="51"/>
      <c r="K80" s="52"/>
      <c r="L80" s="50"/>
      <c r="M80" s="51"/>
      <c r="N80" s="52"/>
      <c r="O80" s="50"/>
      <c r="P80" s="51"/>
      <c r="Q80" s="52"/>
      <c r="S80" s="50"/>
      <c r="T80" s="51"/>
      <c r="U80" s="52"/>
      <c r="V80" s="50"/>
      <c r="W80" s="51"/>
      <c r="X80" s="52"/>
      <c r="Y80" s="50"/>
      <c r="Z80" s="51"/>
      <c r="AA80" s="52"/>
      <c r="AB80" s="50"/>
      <c r="AC80" s="51"/>
      <c r="AD80" s="52"/>
    </row>
    <row r="81" spans="1:30" ht="5.0999999999999996" customHeight="1" thickBot="1" x14ac:dyDescent="0.3">
      <c r="C81" s="56"/>
    </row>
    <row r="82" spans="1:30" x14ac:dyDescent="0.25">
      <c r="A82" s="16" t="str">
        <f>Info!$B$14</f>
        <v>Gemma 4 26B A4B</v>
      </c>
      <c r="B82" s="32">
        <v>4</v>
      </c>
      <c r="C82" s="55">
        <f t="shared" si="1"/>
        <v>16</v>
      </c>
      <c r="D82" s="20">
        <v>17.93</v>
      </c>
      <c r="F82" s="45"/>
      <c r="G82" s="46"/>
      <c r="H82" s="47"/>
      <c r="I82" s="45"/>
      <c r="J82" s="46"/>
      <c r="K82" s="47"/>
      <c r="L82" s="45"/>
      <c r="M82" s="46"/>
      <c r="N82" s="47"/>
      <c r="O82" s="45"/>
      <c r="P82" s="46"/>
      <c r="Q82" s="47"/>
      <c r="S82" s="45"/>
      <c r="T82" s="46"/>
      <c r="U82" s="47"/>
      <c r="V82" s="45"/>
      <c r="W82" s="46"/>
      <c r="X82" s="47"/>
      <c r="Y82" s="45"/>
      <c r="Z82" s="46"/>
      <c r="AA82" s="47"/>
      <c r="AB82" s="45"/>
      <c r="AC82" s="46"/>
      <c r="AD82" s="47"/>
    </row>
    <row r="83" spans="1:30" x14ac:dyDescent="0.25">
      <c r="A83" s="17" t="str">
        <f>Info!$B$14</f>
        <v>Gemma 4 26B A4B</v>
      </c>
      <c r="B83" s="33">
        <v>8</v>
      </c>
      <c r="C83" s="21">
        <f t="shared" si="1"/>
        <v>16</v>
      </c>
      <c r="D83" s="22">
        <v>18.190000000000001</v>
      </c>
      <c r="F83" s="48"/>
      <c r="G83" s="15"/>
      <c r="H83" s="49"/>
      <c r="I83" s="48"/>
      <c r="J83" s="15"/>
      <c r="K83" s="49"/>
      <c r="L83" s="48"/>
      <c r="M83" s="15"/>
      <c r="N83" s="49"/>
      <c r="O83" s="48"/>
      <c r="P83" s="15"/>
      <c r="Q83" s="49"/>
      <c r="S83" s="48"/>
      <c r="T83" s="15"/>
      <c r="U83" s="49"/>
      <c r="V83" s="48"/>
      <c r="W83" s="15"/>
      <c r="X83" s="49"/>
      <c r="Y83" s="48"/>
      <c r="Z83" s="15"/>
      <c r="AA83" s="49"/>
      <c r="AB83" s="48"/>
      <c r="AC83" s="15"/>
      <c r="AD83" s="49"/>
    </row>
    <row r="84" spans="1:30" x14ac:dyDescent="0.25">
      <c r="A84" s="17" t="str">
        <f>Info!$B$14</f>
        <v>Gemma 4 26B A4B</v>
      </c>
      <c r="B84" s="33">
        <v>20</v>
      </c>
      <c r="C84" s="21">
        <f t="shared" si="1"/>
        <v>16</v>
      </c>
      <c r="D84" s="22">
        <v>19.010000000000002</v>
      </c>
      <c r="F84" s="48"/>
      <c r="G84" s="15"/>
      <c r="H84" s="49"/>
      <c r="I84" s="48"/>
      <c r="J84" s="15"/>
      <c r="K84" s="49"/>
      <c r="L84" s="48"/>
      <c r="M84" s="15"/>
      <c r="N84" s="49"/>
      <c r="O84" s="48"/>
      <c r="P84" s="15"/>
      <c r="Q84" s="49"/>
      <c r="S84" s="48"/>
      <c r="T84" s="15"/>
      <c r="U84" s="49"/>
      <c r="V84" s="48"/>
      <c r="W84" s="15"/>
      <c r="X84" s="49"/>
      <c r="Y84" s="48"/>
      <c r="Z84" s="15"/>
      <c r="AA84" s="49"/>
      <c r="AB84" s="48"/>
      <c r="AC84" s="15"/>
      <c r="AD84" s="49"/>
    </row>
    <row r="85" spans="1:30" x14ac:dyDescent="0.25">
      <c r="A85" s="17" t="str">
        <f>Info!$B$14</f>
        <v>Gemma 4 26B A4B</v>
      </c>
      <c r="B85" s="33">
        <v>50</v>
      </c>
      <c r="C85" s="21">
        <f t="shared" ref="C85:C121" si="2">IF(D85 &lt;= 16,D85,16)</f>
        <v>16</v>
      </c>
      <c r="D85" s="22">
        <v>21.05</v>
      </c>
      <c r="F85" s="48"/>
      <c r="G85" s="15"/>
      <c r="H85" s="49"/>
      <c r="I85" s="48"/>
      <c r="J85" s="15"/>
      <c r="K85" s="49"/>
      <c r="L85" s="48"/>
      <c r="M85" s="15"/>
      <c r="N85" s="49"/>
      <c r="O85" s="48"/>
      <c r="P85" s="15"/>
      <c r="Q85" s="49"/>
      <c r="S85" s="48"/>
      <c r="T85" s="15"/>
      <c r="U85" s="49"/>
      <c r="V85" s="48"/>
      <c r="W85" s="15"/>
      <c r="X85" s="49"/>
      <c r="Y85" s="48"/>
      <c r="Z85" s="15"/>
      <c r="AA85" s="49"/>
      <c r="AB85" s="48"/>
      <c r="AC85" s="15"/>
      <c r="AD85" s="49"/>
    </row>
    <row r="86" spans="1:30" x14ac:dyDescent="0.25">
      <c r="A86" s="17" t="str">
        <f>Info!$B$14</f>
        <v>Gemma 4 26B A4B</v>
      </c>
      <c r="B86" s="33">
        <v>100</v>
      </c>
      <c r="C86" s="21">
        <f t="shared" si="2"/>
        <v>16</v>
      </c>
      <c r="D86" s="22">
        <v>24.44</v>
      </c>
      <c r="F86" s="48"/>
      <c r="G86" s="15"/>
      <c r="H86" s="49"/>
      <c r="I86" s="48"/>
      <c r="J86" s="15"/>
      <c r="K86" s="49"/>
      <c r="L86" s="48"/>
      <c r="M86" s="15"/>
      <c r="N86" s="49"/>
      <c r="O86" s="48"/>
      <c r="P86" s="15"/>
      <c r="Q86" s="49"/>
      <c r="S86" s="48"/>
      <c r="T86" s="15"/>
      <c r="U86" s="49"/>
      <c r="V86" s="48"/>
      <c r="W86" s="15"/>
      <c r="X86" s="49"/>
      <c r="Y86" s="48"/>
      <c r="Z86" s="15"/>
      <c r="AA86" s="49"/>
      <c r="AB86" s="48"/>
      <c r="AC86" s="15"/>
      <c r="AD86" s="49"/>
    </row>
    <row r="87" spans="1:30" ht="15.75" thickBot="1" x14ac:dyDescent="0.3">
      <c r="A87" s="18" t="str">
        <f>Info!$B$14</f>
        <v>Gemma 4 26B A4B</v>
      </c>
      <c r="B87" s="34">
        <v>150</v>
      </c>
      <c r="C87" s="54">
        <f t="shared" si="2"/>
        <v>16</v>
      </c>
      <c r="D87" s="23">
        <v>27.84</v>
      </c>
      <c r="F87" s="50"/>
      <c r="G87" s="51"/>
      <c r="H87" s="52"/>
      <c r="I87" s="50"/>
      <c r="J87" s="51"/>
      <c r="K87" s="52"/>
      <c r="L87" s="50"/>
      <c r="M87" s="51"/>
      <c r="N87" s="52"/>
      <c r="O87" s="50"/>
      <c r="P87" s="51"/>
      <c r="Q87" s="52"/>
      <c r="S87" s="50"/>
      <c r="T87" s="51"/>
      <c r="U87" s="52"/>
      <c r="V87" s="50"/>
      <c r="W87" s="51"/>
      <c r="X87" s="52"/>
      <c r="Y87" s="50"/>
      <c r="Z87" s="51"/>
      <c r="AA87" s="52"/>
      <c r="AB87" s="50"/>
      <c r="AC87" s="51"/>
      <c r="AD87" s="52"/>
    </row>
    <row r="88" spans="1:30" ht="5.0999999999999996" customHeight="1" thickBot="1" x14ac:dyDescent="0.3">
      <c r="C88" s="56"/>
    </row>
    <row r="89" spans="1:30" x14ac:dyDescent="0.25">
      <c r="A89" s="16" t="str">
        <f>Info!$B$15</f>
        <v>Qwen3 Coder 30B</v>
      </c>
      <c r="B89" s="32">
        <v>4</v>
      </c>
      <c r="C89" s="55">
        <f t="shared" si="2"/>
        <v>16</v>
      </c>
      <c r="D89" s="20">
        <v>18.37</v>
      </c>
      <c r="F89" s="45"/>
      <c r="G89" s="46"/>
      <c r="H89" s="47"/>
      <c r="I89" s="45"/>
      <c r="J89" s="46"/>
      <c r="K89" s="47"/>
      <c r="L89" s="45"/>
      <c r="M89" s="46"/>
      <c r="N89" s="47"/>
      <c r="O89" s="45"/>
      <c r="P89" s="46"/>
      <c r="Q89" s="47"/>
      <c r="S89" s="45"/>
      <c r="T89" s="46"/>
      <c r="U89" s="47"/>
      <c r="V89" s="45"/>
      <c r="W89" s="46"/>
      <c r="X89" s="47"/>
      <c r="Y89" s="45"/>
      <c r="Z89" s="46"/>
      <c r="AA89" s="47"/>
      <c r="AB89" s="45"/>
      <c r="AC89" s="46"/>
      <c r="AD89" s="47"/>
    </row>
    <row r="90" spans="1:30" x14ac:dyDescent="0.25">
      <c r="A90" s="17" t="str">
        <f>Info!$B$15</f>
        <v>Qwen3 Coder 30B</v>
      </c>
      <c r="B90" s="33">
        <v>8</v>
      </c>
      <c r="C90" s="21">
        <f t="shared" si="2"/>
        <v>16</v>
      </c>
      <c r="D90" s="22">
        <v>18.46</v>
      </c>
      <c r="F90" s="48"/>
      <c r="G90" s="15"/>
      <c r="H90" s="49"/>
      <c r="I90" s="48"/>
      <c r="J90" s="15"/>
      <c r="K90" s="49"/>
      <c r="L90" s="48"/>
      <c r="M90" s="15"/>
      <c r="N90" s="49"/>
      <c r="O90" s="48"/>
      <c r="P90" s="15"/>
      <c r="Q90" s="49"/>
      <c r="S90" s="48"/>
      <c r="T90" s="15"/>
      <c r="U90" s="49"/>
      <c r="V90" s="48"/>
      <c r="W90" s="15"/>
      <c r="X90" s="49"/>
      <c r="Y90" s="48"/>
      <c r="Z90" s="15"/>
      <c r="AA90" s="49"/>
      <c r="AB90" s="48"/>
      <c r="AC90" s="15"/>
      <c r="AD90" s="49"/>
    </row>
    <row r="91" spans="1:30" x14ac:dyDescent="0.25">
      <c r="A91" s="17" t="str">
        <f>Info!$B$15</f>
        <v>Qwen3 Coder 30B</v>
      </c>
      <c r="B91" s="33">
        <v>20</v>
      </c>
      <c r="C91" s="21">
        <f t="shared" si="2"/>
        <v>16</v>
      </c>
      <c r="D91" s="22">
        <v>18.73</v>
      </c>
      <c r="F91" s="48"/>
      <c r="G91" s="15"/>
      <c r="H91" s="49"/>
      <c r="I91" s="48"/>
      <c r="J91" s="15"/>
      <c r="K91" s="49"/>
      <c r="L91" s="48"/>
      <c r="M91" s="15"/>
      <c r="N91" s="49"/>
      <c r="O91" s="48"/>
      <c r="P91" s="15"/>
      <c r="Q91" s="49"/>
      <c r="S91" s="48"/>
      <c r="T91" s="15"/>
      <c r="U91" s="49"/>
      <c r="V91" s="48"/>
      <c r="W91" s="15"/>
      <c r="X91" s="49"/>
      <c r="Y91" s="48"/>
      <c r="Z91" s="15"/>
      <c r="AA91" s="49"/>
      <c r="AB91" s="48"/>
      <c r="AC91" s="15"/>
      <c r="AD91" s="49"/>
    </row>
    <row r="92" spans="1:30" x14ac:dyDescent="0.25">
      <c r="A92" s="17" t="str">
        <f>Info!$B$15</f>
        <v>Qwen3 Coder 30B</v>
      </c>
      <c r="B92" s="33">
        <v>50</v>
      </c>
      <c r="C92" s="21">
        <f t="shared" si="2"/>
        <v>16</v>
      </c>
      <c r="D92" s="22">
        <v>19.420000000000002</v>
      </c>
      <c r="F92" s="48"/>
      <c r="G92" s="15"/>
      <c r="H92" s="49"/>
      <c r="I92" s="48"/>
      <c r="J92" s="15"/>
      <c r="K92" s="49"/>
      <c r="L92" s="48"/>
      <c r="M92" s="15"/>
      <c r="N92" s="49"/>
      <c r="O92" s="48"/>
      <c r="P92" s="15"/>
      <c r="Q92" s="49"/>
      <c r="S92" s="48"/>
      <c r="T92" s="15"/>
      <c r="U92" s="49"/>
      <c r="V92" s="48"/>
      <c r="W92" s="15"/>
      <c r="X92" s="49"/>
      <c r="Y92" s="48"/>
      <c r="Z92" s="15"/>
      <c r="AA92" s="49"/>
      <c r="AB92" s="48"/>
      <c r="AC92" s="15"/>
      <c r="AD92" s="49"/>
    </row>
    <row r="93" spans="1:30" x14ac:dyDescent="0.25">
      <c r="A93" s="17" t="str">
        <f>Info!$B$15</f>
        <v>Qwen3 Coder 30B</v>
      </c>
      <c r="B93" s="33">
        <v>100</v>
      </c>
      <c r="C93" s="21">
        <f t="shared" si="2"/>
        <v>16</v>
      </c>
      <c r="D93" s="22">
        <v>20.55</v>
      </c>
      <c r="F93" s="48"/>
      <c r="G93" s="15"/>
      <c r="H93" s="49"/>
      <c r="I93" s="48"/>
      <c r="J93" s="15"/>
      <c r="K93" s="49"/>
      <c r="L93" s="48"/>
      <c r="M93" s="15"/>
      <c r="N93" s="49"/>
      <c r="O93" s="48"/>
      <c r="P93" s="15"/>
      <c r="Q93" s="49"/>
      <c r="S93" s="48"/>
      <c r="T93" s="15"/>
      <c r="U93" s="49"/>
      <c r="V93" s="48"/>
      <c r="W93" s="15"/>
      <c r="X93" s="49"/>
      <c r="Y93" s="48"/>
      <c r="Z93" s="15"/>
      <c r="AA93" s="49"/>
      <c r="AB93" s="48"/>
      <c r="AC93" s="15"/>
      <c r="AD93" s="49"/>
    </row>
    <row r="94" spans="1:30" ht="15.75" thickBot="1" x14ac:dyDescent="0.3">
      <c r="A94" s="18" t="str">
        <f>Info!$B$15</f>
        <v>Qwen3 Coder 30B</v>
      </c>
      <c r="B94" s="34">
        <v>150</v>
      </c>
      <c r="C94" s="54">
        <f t="shared" si="2"/>
        <v>16</v>
      </c>
      <c r="D94" s="23">
        <v>21.69</v>
      </c>
      <c r="F94" s="50"/>
      <c r="G94" s="51"/>
      <c r="H94" s="52"/>
      <c r="I94" s="50"/>
      <c r="J94" s="51"/>
      <c r="K94" s="52"/>
      <c r="L94" s="50"/>
      <c r="M94" s="51"/>
      <c r="N94" s="52"/>
      <c r="O94" s="50"/>
      <c r="P94" s="51"/>
      <c r="Q94" s="52"/>
      <c r="S94" s="50"/>
      <c r="T94" s="51"/>
      <c r="U94" s="52"/>
      <c r="V94" s="50"/>
      <c r="W94" s="51"/>
      <c r="X94" s="52"/>
      <c r="Y94" s="50"/>
      <c r="Z94" s="51"/>
      <c r="AA94" s="52"/>
      <c r="AB94" s="50"/>
      <c r="AC94" s="51"/>
      <c r="AD94" s="52"/>
    </row>
    <row r="95" spans="1:30" ht="5.0999999999999996" customHeight="1" thickBot="1" x14ac:dyDescent="0.3">
      <c r="C95" s="56"/>
    </row>
    <row r="96" spans="1:30" x14ac:dyDescent="0.25">
      <c r="A96" s="16" t="str">
        <f>Info!$B$16</f>
        <v>Qwen3.5 35B A3B</v>
      </c>
      <c r="B96" s="32">
        <v>4</v>
      </c>
      <c r="C96" s="55">
        <f t="shared" si="2"/>
        <v>16</v>
      </c>
      <c r="D96" s="20">
        <v>21.73</v>
      </c>
      <c r="F96" s="45"/>
      <c r="G96" s="46"/>
      <c r="H96" s="47"/>
      <c r="I96" s="45"/>
      <c r="J96" s="46"/>
      <c r="K96" s="47"/>
      <c r="L96" s="45"/>
      <c r="M96" s="46"/>
      <c r="N96" s="47"/>
      <c r="O96" s="45"/>
      <c r="P96" s="46"/>
      <c r="Q96" s="47"/>
      <c r="S96" s="45"/>
      <c r="T96" s="46"/>
      <c r="U96" s="47"/>
      <c r="V96" s="45"/>
      <c r="W96" s="46"/>
      <c r="X96" s="47"/>
      <c r="Y96" s="45"/>
      <c r="Z96" s="46"/>
      <c r="AA96" s="47"/>
      <c r="AB96" s="45"/>
      <c r="AC96" s="46"/>
      <c r="AD96" s="47"/>
    </row>
    <row r="97" spans="1:30" x14ac:dyDescent="0.25">
      <c r="A97" s="17" t="str">
        <f>Info!$B$16</f>
        <v>Qwen3.5 35B A3B</v>
      </c>
      <c r="B97" s="33">
        <v>8</v>
      </c>
      <c r="C97" s="21">
        <f t="shared" si="2"/>
        <v>16</v>
      </c>
      <c r="D97" s="22">
        <v>21.81</v>
      </c>
      <c r="F97" s="48"/>
      <c r="G97" s="15"/>
      <c r="H97" s="49"/>
      <c r="I97" s="48"/>
      <c r="J97" s="15"/>
      <c r="K97" s="49"/>
      <c r="L97" s="48"/>
      <c r="M97" s="15"/>
      <c r="N97" s="49"/>
      <c r="O97" s="48"/>
      <c r="P97" s="15"/>
      <c r="Q97" s="49"/>
      <c r="S97" s="48"/>
      <c r="T97" s="15"/>
      <c r="U97" s="49"/>
      <c r="V97" s="48"/>
      <c r="W97" s="15"/>
      <c r="X97" s="49"/>
      <c r="Y97" s="48"/>
      <c r="Z97" s="15"/>
      <c r="AA97" s="49"/>
      <c r="AB97" s="48"/>
      <c r="AC97" s="15"/>
      <c r="AD97" s="49"/>
    </row>
    <row r="98" spans="1:30" x14ac:dyDescent="0.25">
      <c r="A98" s="17" t="str">
        <f>Info!$B$16</f>
        <v>Qwen3.5 35B A3B</v>
      </c>
      <c r="B98" s="33">
        <v>20</v>
      </c>
      <c r="C98" s="21">
        <f t="shared" si="2"/>
        <v>16</v>
      </c>
      <c r="D98" s="22">
        <v>22.03</v>
      </c>
      <c r="F98" s="48"/>
      <c r="G98" s="15"/>
      <c r="H98" s="49"/>
      <c r="I98" s="48"/>
      <c r="J98" s="15"/>
      <c r="K98" s="49"/>
      <c r="L98" s="48"/>
      <c r="M98" s="15"/>
      <c r="N98" s="49"/>
      <c r="O98" s="48"/>
      <c r="P98" s="15"/>
      <c r="Q98" s="49"/>
      <c r="S98" s="48"/>
      <c r="T98" s="15"/>
      <c r="U98" s="49"/>
      <c r="V98" s="48"/>
      <c r="W98" s="15"/>
      <c r="X98" s="49"/>
      <c r="Y98" s="48"/>
      <c r="Z98" s="15"/>
      <c r="AA98" s="49"/>
      <c r="AB98" s="48"/>
      <c r="AC98" s="15"/>
      <c r="AD98" s="49"/>
    </row>
    <row r="99" spans="1:30" x14ac:dyDescent="0.25">
      <c r="A99" s="17" t="str">
        <f>Info!$B$16</f>
        <v>Qwen3.5 35B A3B</v>
      </c>
      <c r="B99" s="33">
        <v>50</v>
      </c>
      <c r="C99" s="21">
        <f t="shared" si="2"/>
        <v>16</v>
      </c>
      <c r="D99" s="22">
        <v>22.6</v>
      </c>
      <c r="F99" s="48"/>
      <c r="G99" s="15"/>
      <c r="H99" s="49"/>
      <c r="I99" s="48"/>
      <c r="J99" s="15"/>
      <c r="K99" s="49"/>
      <c r="L99" s="48"/>
      <c r="M99" s="15"/>
      <c r="N99" s="49"/>
      <c r="O99" s="48"/>
      <c r="P99" s="15"/>
      <c r="Q99" s="49"/>
      <c r="S99" s="48"/>
      <c r="T99" s="15"/>
      <c r="U99" s="49"/>
      <c r="V99" s="48"/>
      <c r="W99" s="15"/>
      <c r="X99" s="49"/>
      <c r="Y99" s="48"/>
      <c r="Z99" s="15"/>
      <c r="AA99" s="49"/>
      <c r="AB99" s="48"/>
      <c r="AC99" s="15"/>
      <c r="AD99" s="49"/>
    </row>
    <row r="100" spans="1:30" x14ac:dyDescent="0.25">
      <c r="A100" s="17" t="str">
        <f>Info!$B$16</f>
        <v>Qwen3.5 35B A3B</v>
      </c>
      <c r="B100" s="33">
        <v>100</v>
      </c>
      <c r="C100" s="21">
        <f t="shared" si="2"/>
        <v>16</v>
      </c>
      <c r="D100" s="22">
        <v>23.55</v>
      </c>
      <c r="F100" s="48"/>
      <c r="G100" s="15"/>
      <c r="H100" s="49"/>
      <c r="I100" s="48"/>
      <c r="J100" s="15"/>
      <c r="K100" s="49"/>
      <c r="L100" s="48"/>
      <c r="M100" s="15"/>
      <c r="N100" s="49"/>
      <c r="O100" s="48"/>
      <c r="P100" s="15"/>
      <c r="Q100" s="49"/>
      <c r="S100" s="48"/>
      <c r="T100" s="15"/>
      <c r="U100" s="49"/>
      <c r="V100" s="48"/>
      <c r="W100" s="15"/>
      <c r="X100" s="49"/>
      <c r="Y100" s="48"/>
      <c r="Z100" s="15"/>
      <c r="AA100" s="49"/>
      <c r="AB100" s="48"/>
      <c r="AC100" s="15"/>
      <c r="AD100" s="49"/>
    </row>
    <row r="101" spans="1:30" ht="15.75" thickBot="1" x14ac:dyDescent="0.3">
      <c r="A101" s="18" t="str">
        <f>Info!$B$16</f>
        <v>Qwen3.5 35B A3B</v>
      </c>
      <c r="B101" s="34">
        <v>150</v>
      </c>
      <c r="C101" s="54">
        <f t="shared" si="2"/>
        <v>16</v>
      </c>
      <c r="D101" s="23">
        <v>24.5</v>
      </c>
      <c r="F101" s="50"/>
      <c r="G101" s="51"/>
      <c r="H101" s="52"/>
      <c r="I101" s="50"/>
      <c r="J101" s="51"/>
      <c r="K101" s="52"/>
      <c r="L101" s="50"/>
      <c r="M101" s="51"/>
      <c r="N101" s="52"/>
      <c r="O101" s="50"/>
      <c r="P101" s="51"/>
      <c r="Q101" s="52"/>
      <c r="S101" s="50"/>
      <c r="T101" s="51"/>
      <c r="U101" s="52"/>
      <c r="V101" s="50"/>
      <c r="W101" s="51"/>
      <c r="X101" s="52"/>
      <c r="Y101" s="50"/>
      <c r="Z101" s="51"/>
      <c r="AA101" s="52"/>
      <c r="AB101" s="50"/>
      <c r="AC101" s="51"/>
      <c r="AD101" s="52"/>
    </row>
    <row r="102" spans="1:30" ht="5.0999999999999996" customHeight="1" thickBot="1" x14ac:dyDescent="0.3">
      <c r="C102" s="56"/>
    </row>
    <row r="103" spans="1:30" x14ac:dyDescent="0.25">
      <c r="A103" s="16" t="str">
        <f>Info!$B$17</f>
        <v>Llama 2 70B Chat</v>
      </c>
      <c r="B103" s="32">
        <v>4</v>
      </c>
      <c r="C103" s="55">
        <f t="shared" si="2"/>
        <v>16</v>
      </c>
      <c r="D103" s="20">
        <v>41.26</v>
      </c>
      <c r="F103" s="45"/>
      <c r="G103" s="46"/>
      <c r="H103" s="47"/>
      <c r="I103" s="45"/>
      <c r="J103" s="46"/>
      <c r="K103" s="47"/>
      <c r="L103" s="45"/>
      <c r="M103" s="46"/>
      <c r="N103" s="47"/>
      <c r="O103" s="45"/>
      <c r="P103" s="46"/>
      <c r="Q103" s="47"/>
      <c r="S103" s="45"/>
      <c r="T103" s="46"/>
      <c r="U103" s="47"/>
      <c r="V103" s="45"/>
      <c r="W103" s="46"/>
      <c r="X103" s="47"/>
      <c r="Y103" s="45"/>
      <c r="Z103" s="46"/>
      <c r="AA103" s="47"/>
      <c r="AB103" s="45"/>
      <c r="AC103" s="46"/>
      <c r="AD103" s="47"/>
    </row>
    <row r="104" spans="1:30" x14ac:dyDescent="0.25">
      <c r="A104" s="17" t="str">
        <f>Info!$B$17</f>
        <v>Llama 2 70B Chat</v>
      </c>
      <c r="B104" s="33">
        <v>8</v>
      </c>
      <c r="C104" s="21" t="s">
        <v>75</v>
      </c>
      <c r="D104" s="22" t="s">
        <v>75</v>
      </c>
      <c r="F104" s="48"/>
      <c r="G104" s="15"/>
      <c r="H104" s="49"/>
      <c r="I104" s="48"/>
      <c r="J104" s="15"/>
      <c r="K104" s="49"/>
      <c r="L104" s="48"/>
      <c r="M104" s="15"/>
      <c r="N104" s="49"/>
      <c r="O104" s="48"/>
      <c r="P104" s="15"/>
      <c r="Q104" s="49"/>
      <c r="S104" s="48"/>
      <c r="T104" s="15"/>
      <c r="U104" s="49"/>
      <c r="V104" s="48"/>
      <c r="W104" s="15"/>
      <c r="X104" s="49"/>
      <c r="Y104" s="48"/>
      <c r="Z104" s="15"/>
      <c r="AA104" s="49"/>
      <c r="AB104" s="48"/>
      <c r="AC104" s="15"/>
      <c r="AD104" s="49"/>
    </row>
    <row r="105" spans="1:30" x14ac:dyDescent="0.25">
      <c r="A105" s="17" t="str">
        <f>Info!$B$17</f>
        <v>Llama 2 70B Chat</v>
      </c>
      <c r="B105" s="33">
        <v>20</v>
      </c>
      <c r="C105" s="21" t="s">
        <v>75</v>
      </c>
      <c r="D105" s="22" t="s">
        <v>75</v>
      </c>
      <c r="F105" s="48"/>
      <c r="G105" s="15"/>
      <c r="H105" s="49"/>
      <c r="I105" s="48"/>
      <c r="J105" s="15"/>
      <c r="K105" s="49"/>
      <c r="L105" s="48"/>
      <c r="M105" s="15"/>
      <c r="N105" s="49"/>
      <c r="O105" s="48"/>
      <c r="P105" s="15"/>
      <c r="Q105" s="49"/>
      <c r="S105" s="48"/>
      <c r="T105" s="15"/>
      <c r="U105" s="49"/>
      <c r="V105" s="48"/>
      <c r="W105" s="15"/>
      <c r="X105" s="49"/>
      <c r="Y105" s="48"/>
      <c r="Z105" s="15"/>
      <c r="AA105" s="49"/>
      <c r="AB105" s="48"/>
      <c r="AC105" s="15"/>
      <c r="AD105" s="49"/>
    </row>
    <row r="106" spans="1:30" x14ac:dyDescent="0.25">
      <c r="A106" s="17" t="str">
        <f>Info!$B$17</f>
        <v>Llama 2 70B Chat</v>
      </c>
      <c r="B106" s="33">
        <v>50</v>
      </c>
      <c r="C106" s="21" t="s">
        <v>75</v>
      </c>
      <c r="D106" s="22" t="s">
        <v>75</v>
      </c>
      <c r="F106" s="48"/>
      <c r="G106" s="15"/>
      <c r="H106" s="49"/>
      <c r="I106" s="48"/>
      <c r="J106" s="15"/>
      <c r="K106" s="49"/>
      <c r="L106" s="48"/>
      <c r="M106" s="15"/>
      <c r="N106" s="49"/>
      <c r="O106" s="48"/>
      <c r="P106" s="15"/>
      <c r="Q106" s="49"/>
      <c r="S106" s="48"/>
      <c r="T106" s="15"/>
      <c r="U106" s="49"/>
      <c r="V106" s="48"/>
      <c r="W106" s="15"/>
      <c r="X106" s="49"/>
      <c r="Y106" s="48"/>
      <c r="Z106" s="15"/>
      <c r="AA106" s="49"/>
      <c r="AB106" s="48"/>
      <c r="AC106" s="15"/>
      <c r="AD106" s="49"/>
    </row>
    <row r="107" spans="1:30" x14ac:dyDescent="0.25">
      <c r="A107" s="17" t="str">
        <f>Info!$B$17</f>
        <v>Llama 2 70B Chat</v>
      </c>
      <c r="B107" s="33">
        <v>100</v>
      </c>
      <c r="C107" s="21" t="s">
        <v>75</v>
      </c>
      <c r="D107" s="22" t="s">
        <v>75</v>
      </c>
      <c r="F107" s="48"/>
      <c r="G107" s="15"/>
      <c r="H107" s="49"/>
      <c r="I107" s="48"/>
      <c r="J107" s="15"/>
      <c r="K107" s="49"/>
      <c r="L107" s="48"/>
      <c r="M107" s="15"/>
      <c r="N107" s="49"/>
      <c r="O107" s="48"/>
      <c r="P107" s="15"/>
      <c r="Q107" s="49"/>
      <c r="S107" s="48"/>
      <c r="T107" s="15"/>
      <c r="U107" s="49"/>
      <c r="V107" s="48"/>
      <c r="W107" s="15"/>
      <c r="X107" s="49"/>
      <c r="Y107" s="48"/>
      <c r="Z107" s="15"/>
      <c r="AA107" s="49"/>
      <c r="AB107" s="48"/>
      <c r="AC107" s="15"/>
      <c r="AD107" s="49"/>
    </row>
    <row r="108" spans="1:30" ht="15.75" thickBot="1" x14ac:dyDescent="0.3">
      <c r="A108" s="18" t="str">
        <f>Info!$B$17</f>
        <v>Llama 2 70B Chat</v>
      </c>
      <c r="B108" s="34">
        <v>150</v>
      </c>
      <c r="C108" s="54" t="s">
        <v>75</v>
      </c>
      <c r="D108" s="23" t="s">
        <v>75</v>
      </c>
      <c r="F108" s="50"/>
      <c r="G108" s="51"/>
      <c r="H108" s="52"/>
      <c r="I108" s="50"/>
      <c r="J108" s="51"/>
      <c r="K108" s="52"/>
      <c r="L108" s="50"/>
      <c r="M108" s="51"/>
      <c r="N108" s="52"/>
      <c r="O108" s="50"/>
      <c r="P108" s="51"/>
      <c r="Q108" s="52"/>
      <c r="S108" s="50"/>
      <c r="T108" s="51"/>
      <c r="U108" s="52"/>
      <c r="V108" s="50"/>
      <c r="W108" s="51"/>
      <c r="X108" s="52"/>
      <c r="Y108" s="50"/>
      <c r="Z108" s="51"/>
      <c r="AA108" s="52"/>
      <c r="AB108" s="50"/>
      <c r="AC108" s="51"/>
      <c r="AD108" s="52"/>
    </row>
    <row r="109" spans="1:30" ht="5.0999999999999996" customHeight="1" thickBot="1" x14ac:dyDescent="0.3">
      <c r="C109" s="56"/>
    </row>
    <row r="110" spans="1:30" x14ac:dyDescent="0.25">
      <c r="A110" s="16" t="str">
        <f>Info!$B$18</f>
        <v>Qwen3 Coder Next</v>
      </c>
      <c r="B110" s="32">
        <v>4</v>
      </c>
      <c r="C110" s="55">
        <f t="shared" si="2"/>
        <v>16</v>
      </c>
      <c r="D110" s="20">
        <v>47.66</v>
      </c>
      <c r="F110" s="45"/>
      <c r="G110" s="46"/>
      <c r="H110" s="47"/>
      <c r="I110" s="45"/>
      <c r="J110" s="46"/>
      <c r="K110" s="47"/>
      <c r="L110" s="45"/>
      <c r="M110" s="46"/>
      <c r="N110" s="47"/>
      <c r="O110" s="45"/>
      <c r="P110" s="46"/>
      <c r="Q110" s="47"/>
      <c r="S110" s="45"/>
      <c r="T110" s="46"/>
      <c r="U110" s="47"/>
      <c r="V110" s="45"/>
      <c r="W110" s="46"/>
      <c r="X110" s="47"/>
      <c r="Y110" s="45"/>
      <c r="Z110" s="46"/>
      <c r="AA110" s="47"/>
      <c r="AB110" s="45"/>
      <c r="AC110" s="46"/>
      <c r="AD110" s="47"/>
    </row>
    <row r="111" spans="1:30" x14ac:dyDescent="0.25">
      <c r="A111" s="17" t="str">
        <f>Info!$B$18</f>
        <v>Qwen3 Coder Next</v>
      </c>
      <c r="B111" s="33">
        <v>8</v>
      </c>
      <c r="C111" s="21">
        <f t="shared" si="2"/>
        <v>16</v>
      </c>
      <c r="D111" s="22">
        <v>47.75</v>
      </c>
      <c r="F111" s="48"/>
      <c r="G111" s="15"/>
      <c r="H111" s="49"/>
      <c r="I111" s="48"/>
      <c r="J111" s="15"/>
      <c r="K111" s="49"/>
      <c r="L111" s="48"/>
      <c r="M111" s="15"/>
      <c r="N111" s="49"/>
      <c r="O111" s="48"/>
      <c r="P111" s="15"/>
      <c r="Q111" s="49"/>
      <c r="S111" s="48"/>
      <c r="T111" s="15"/>
      <c r="U111" s="49"/>
      <c r="V111" s="48"/>
      <c r="W111" s="15"/>
      <c r="X111" s="49"/>
      <c r="Y111" s="48"/>
      <c r="Z111" s="15"/>
      <c r="AA111" s="49"/>
      <c r="AB111" s="48"/>
      <c r="AC111" s="15"/>
      <c r="AD111" s="49"/>
    </row>
    <row r="112" spans="1:30" x14ac:dyDescent="0.25">
      <c r="A112" s="17" t="str">
        <f>Info!$B$18</f>
        <v>Qwen3 Coder Next</v>
      </c>
      <c r="B112" s="33">
        <v>20</v>
      </c>
      <c r="C112" s="21">
        <f t="shared" si="2"/>
        <v>16</v>
      </c>
      <c r="D112" s="22">
        <v>48.02</v>
      </c>
      <c r="F112" s="48"/>
      <c r="G112" s="15"/>
      <c r="H112" s="49"/>
      <c r="I112" s="48"/>
      <c r="J112" s="15"/>
      <c r="K112" s="49"/>
      <c r="L112" s="48"/>
      <c r="M112" s="15"/>
      <c r="N112" s="49"/>
      <c r="O112" s="48"/>
      <c r="P112" s="15"/>
      <c r="Q112" s="49"/>
      <c r="S112" s="48"/>
      <c r="T112" s="15"/>
      <c r="U112" s="49"/>
      <c r="V112" s="48"/>
      <c r="W112" s="15"/>
      <c r="X112" s="49"/>
      <c r="Y112" s="48"/>
      <c r="Z112" s="15"/>
      <c r="AA112" s="49"/>
      <c r="AB112" s="48"/>
      <c r="AC112" s="15"/>
      <c r="AD112" s="49"/>
    </row>
    <row r="113" spans="1:30" x14ac:dyDescent="0.25">
      <c r="A113" s="17" t="str">
        <f>Info!$B$18</f>
        <v>Qwen3 Coder Next</v>
      </c>
      <c r="B113" s="33">
        <v>50</v>
      </c>
      <c r="C113" s="21">
        <f t="shared" si="2"/>
        <v>16</v>
      </c>
      <c r="D113" s="22">
        <v>48.71</v>
      </c>
      <c r="F113" s="48"/>
      <c r="G113" s="15"/>
      <c r="H113" s="49"/>
      <c r="I113" s="48"/>
      <c r="J113" s="15"/>
      <c r="K113" s="49"/>
      <c r="L113" s="48"/>
      <c r="M113" s="15"/>
      <c r="N113" s="49"/>
      <c r="O113" s="48"/>
      <c r="P113" s="15"/>
      <c r="Q113" s="49"/>
      <c r="S113" s="48"/>
      <c r="T113" s="15"/>
      <c r="U113" s="49"/>
      <c r="V113" s="48"/>
      <c r="W113" s="15"/>
      <c r="X113" s="49"/>
      <c r="Y113" s="48"/>
      <c r="Z113" s="15"/>
      <c r="AA113" s="49"/>
      <c r="AB113" s="48"/>
      <c r="AC113" s="15"/>
      <c r="AD113" s="49"/>
    </row>
    <row r="114" spans="1:30" x14ac:dyDescent="0.25">
      <c r="A114" s="17" t="str">
        <f>Info!$B$18</f>
        <v>Qwen3 Coder Next</v>
      </c>
      <c r="B114" s="33">
        <v>100</v>
      </c>
      <c r="C114" s="21">
        <f t="shared" si="2"/>
        <v>16</v>
      </c>
      <c r="D114" s="22">
        <v>49.84</v>
      </c>
      <c r="F114" s="48"/>
      <c r="G114" s="15"/>
      <c r="H114" s="49"/>
      <c r="I114" s="48"/>
      <c r="J114" s="15"/>
      <c r="K114" s="49"/>
      <c r="L114" s="48"/>
      <c r="M114" s="15"/>
      <c r="N114" s="49"/>
      <c r="O114" s="48"/>
      <c r="P114" s="15"/>
      <c r="Q114" s="49"/>
      <c r="S114" s="48"/>
      <c r="T114" s="15"/>
      <c r="U114" s="49"/>
      <c r="V114" s="48"/>
      <c r="W114" s="15"/>
      <c r="X114" s="49"/>
      <c r="Y114" s="48"/>
      <c r="Z114" s="15"/>
      <c r="AA114" s="49"/>
      <c r="AB114" s="48"/>
      <c r="AC114" s="15"/>
      <c r="AD114" s="49"/>
    </row>
    <row r="115" spans="1:30" ht="15.75" thickBot="1" x14ac:dyDescent="0.3">
      <c r="A115" s="18" t="str">
        <f>Info!$B$18</f>
        <v>Qwen3 Coder Next</v>
      </c>
      <c r="B115" s="34">
        <v>150</v>
      </c>
      <c r="C115" s="54">
        <f t="shared" si="2"/>
        <v>16</v>
      </c>
      <c r="D115" s="23">
        <v>50.98</v>
      </c>
      <c r="F115" s="50"/>
      <c r="G115" s="51"/>
      <c r="H115" s="52"/>
      <c r="I115" s="50"/>
      <c r="J115" s="51"/>
      <c r="K115" s="52"/>
      <c r="L115" s="50"/>
      <c r="M115" s="51"/>
      <c r="N115" s="52"/>
      <c r="O115" s="50"/>
      <c r="P115" s="51"/>
      <c r="Q115" s="52"/>
      <c r="S115" s="50"/>
      <c r="T115" s="51"/>
      <c r="U115" s="52"/>
      <c r="V115" s="50"/>
      <c r="W115" s="51"/>
      <c r="X115" s="52"/>
      <c r="Y115" s="50"/>
      <c r="Z115" s="51"/>
      <c r="AA115" s="52"/>
      <c r="AB115" s="50"/>
      <c r="AC115" s="51"/>
      <c r="AD115" s="52"/>
    </row>
    <row r="116" spans="1:30" ht="5.0999999999999996" customHeight="1" thickBot="1" x14ac:dyDescent="0.3">
      <c r="C116" s="56"/>
    </row>
    <row r="117" spans="1:30" x14ac:dyDescent="0.25">
      <c r="A117" s="16" t="str">
        <f>Info!$B$19</f>
        <v>GPT-OSS 120B</v>
      </c>
      <c r="B117" s="32">
        <v>4</v>
      </c>
      <c r="C117" s="55">
        <f t="shared" si="2"/>
        <v>16</v>
      </c>
      <c r="D117" s="20">
        <v>62.29</v>
      </c>
      <c r="F117" s="45"/>
      <c r="G117" s="46"/>
      <c r="H117" s="47"/>
      <c r="I117" s="45"/>
      <c r="J117" s="46"/>
      <c r="K117" s="47"/>
      <c r="L117" s="45"/>
      <c r="M117" s="46"/>
      <c r="N117" s="47"/>
      <c r="O117" s="45"/>
      <c r="P117" s="46"/>
      <c r="Q117" s="47"/>
      <c r="S117" s="45"/>
      <c r="T117" s="46"/>
      <c r="U117" s="47"/>
      <c r="V117" s="45"/>
      <c r="W117" s="46"/>
      <c r="X117" s="47"/>
      <c r="Y117" s="45"/>
      <c r="Z117" s="46"/>
      <c r="AA117" s="47"/>
      <c r="AB117" s="45"/>
      <c r="AC117" s="46"/>
      <c r="AD117" s="47"/>
    </row>
    <row r="118" spans="1:30" x14ac:dyDescent="0.25">
      <c r="A118" s="17" t="str">
        <f>Info!$B$19</f>
        <v>GPT-OSS 120B</v>
      </c>
      <c r="B118" s="33">
        <v>8</v>
      </c>
      <c r="C118" s="21">
        <f t="shared" si="2"/>
        <v>16</v>
      </c>
      <c r="D118" s="22">
        <v>62.38</v>
      </c>
      <c r="F118" s="48"/>
      <c r="G118" s="15"/>
      <c r="H118" s="49"/>
      <c r="I118" s="48"/>
      <c r="J118" s="15"/>
      <c r="K118" s="49"/>
      <c r="L118" s="48"/>
      <c r="M118" s="15"/>
      <c r="N118" s="49"/>
      <c r="O118" s="48"/>
      <c r="P118" s="15"/>
      <c r="Q118" s="49"/>
      <c r="S118" s="48"/>
      <c r="T118" s="15"/>
      <c r="U118" s="49"/>
      <c r="V118" s="48"/>
      <c r="W118" s="15"/>
      <c r="X118" s="49"/>
      <c r="Y118" s="48"/>
      <c r="Z118" s="15"/>
      <c r="AA118" s="49"/>
      <c r="AB118" s="48"/>
      <c r="AC118" s="15"/>
      <c r="AD118" s="49"/>
    </row>
    <row r="119" spans="1:30" x14ac:dyDescent="0.25">
      <c r="A119" s="17" t="str">
        <f>Info!$B$19</f>
        <v>GPT-OSS 120B</v>
      </c>
      <c r="B119" s="33">
        <v>20</v>
      </c>
      <c r="C119" s="21">
        <f t="shared" si="2"/>
        <v>16</v>
      </c>
      <c r="D119" s="22">
        <v>62.67</v>
      </c>
      <c r="F119" s="48"/>
      <c r="G119" s="15"/>
      <c r="H119" s="49"/>
      <c r="I119" s="48"/>
      <c r="J119" s="15"/>
      <c r="K119" s="49"/>
      <c r="L119" s="48"/>
      <c r="M119" s="15"/>
      <c r="N119" s="49"/>
      <c r="O119" s="48"/>
      <c r="P119" s="15"/>
      <c r="Q119" s="49"/>
      <c r="S119" s="48"/>
      <c r="T119" s="15"/>
      <c r="U119" s="49"/>
      <c r="V119" s="48"/>
      <c r="W119" s="15"/>
      <c r="X119" s="49"/>
      <c r="Y119" s="48"/>
      <c r="Z119" s="15"/>
      <c r="AA119" s="49"/>
      <c r="AB119" s="48"/>
      <c r="AC119" s="15"/>
      <c r="AD119" s="49"/>
    </row>
    <row r="120" spans="1:30" x14ac:dyDescent="0.25">
      <c r="A120" s="17" t="str">
        <f>Info!$B$19</f>
        <v>GPT-OSS 120B</v>
      </c>
      <c r="B120" s="33">
        <v>50</v>
      </c>
      <c r="C120" s="21">
        <f t="shared" si="2"/>
        <v>16</v>
      </c>
      <c r="D120" s="22">
        <v>63.39</v>
      </c>
      <c r="F120" s="48"/>
      <c r="G120" s="15"/>
      <c r="H120" s="49"/>
      <c r="I120" s="48"/>
      <c r="J120" s="15"/>
      <c r="K120" s="49"/>
      <c r="L120" s="48"/>
      <c r="M120" s="15"/>
      <c r="N120" s="49"/>
      <c r="O120" s="48"/>
      <c r="P120" s="15"/>
      <c r="Q120" s="49"/>
      <c r="S120" s="48"/>
      <c r="T120" s="15"/>
      <c r="U120" s="49"/>
      <c r="V120" s="48"/>
      <c r="W120" s="15"/>
      <c r="X120" s="49"/>
      <c r="Y120" s="48"/>
      <c r="Z120" s="15"/>
      <c r="AA120" s="49"/>
      <c r="AB120" s="48"/>
      <c r="AC120" s="15"/>
      <c r="AD120" s="49"/>
    </row>
    <row r="121" spans="1:30" x14ac:dyDescent="0.25">
      <c r="A121" s="17" t="str">
        <f>Info!$B$19</f>
        <v>GPT-OSS 120B</v>
      </c>
      <c r="B121" s="33">
        <v>100</v>
      </c>
      <c r="C121" s="21">
        <f t="shared" si="2"/>
        <v>16</v>
      </c>
      <c r="D121" s="22">
        <v>64.58</v>
      </c>
      <c r="F121" s="48"/>
      <c r="G121" s="15"/>
      <c r="H121" s="49"/>
      <c r="I121" s="48"/>
      <c r="J121" s="15"/>
      <c r="K121" s="49"/>
      <c r="L121" s="48"/>
      <c r="M121" s="15"/>
      <c r="N121" s="49"/>
      <c r="O121" s="48"/>
      <c r="P121" s="15"/>
      <c r="Q121" s="49"/>
      <c r="S121" s="48"/>
      <c r="T121" s="15"/>
      <c r="U121" s="49"/>
      <c r="V121" s="48"/>
      <c r="W121" s="15"/>
      <c r="X121" s="49"/>
      <c r="Y121" s="48"/>
      <c r="Z121" s="15"/>
      <c r="AA121" s="49"/>
      <c r="AB121" s="48"/>
      <c r="AC121" s="15"/>
      <c r="AD121" s="49"/>
    </row>
    <row r="122" spans="1:30" ht="15.75" thickBot="1" x14ac:dyDescent="0.3">
      <c r="A122" s="18" t="str">
        <f>Info!$B$19</f>
        <v>GPT-OSS 120B</v>
      </c>
      <c r="B122" s="34">
        <v>150</v>
      </c>
      <c r="C122" s="21" t="s">
        <v>75</v>
      </c>
      <c r="D122" s="23" t="s">
        <v>75</v>
      </c>
      <c r="F122" s="50"/>
      <c r="G122" s="51"/>
      <c r="H122" s="52"/>
      <c r="I122" s="50"/>
      <c r="J122" s="51"/>
      <c r="K122" s="52"/>
      <c r="L122" s="50"/>
      <c r="M122" s="51"/>
      <c r="N122" s="52"/>
      <c r="O122" s="50"/>
      <c r="P122" s="51"/>
      <c r="Q122" s="52"/>
      <c r="S122" s="50"/>
      <c r="T122" s="51"/>
      <c r="U122" s="52"/>
      <c r="V122" s="50"/>
      <c r="W122" s="51"/>
      <c r="X122" s="52"/>
      <c r="Y122" s="50"/>
      <c r="Z122" s="51"/>
      <c r="AA122" s="52"/>
      <c r="AB122" s="50"/>
      <c r="AC122" s="51"/>
      <c r="AD122" s="52"/>
    </row>
  </sheetData>
  <mergeCells count="11">
    <mergeCell ref="AB2:AD2"/>
    <mergeCell ref="C1:D1"/>
    <mergeCell ref="F1:Q1"/>
    <mergeCell ref="S1:AD1"/>
    <mergeCell ref="F2:H2"/>
    <mergeCell ref="I2:K2"/>
    <mergeCell ref="L2:N2"/>
    <mergeCell ref="O2:Q2"/>
    <mergeCell ref="S2:U2"/>
    <mergeCell ref="V2:X2"/>
    <mergeCell ref="Y2:AA2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5</vt:i4>
      </vt:variant>
    </vt:vector>
  </HeadingPairs>
  <TitlesOfParts>
    <vt:vector size="5" baseType="lpstr">
      <vt:lpstr>Info</vt:lpstr>
      <vt:lpstr>Základ</vt:lpstr>
      <vt:lpstr>Programování</vt:lpstr>
      <vt:lpstr>Sumarizace</vt:lpstr>
      <vt:lpstr>Tool-Calling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Kiki ZC</dc:creator>
  <cp:lastModifiedBy>Kryštof Coufal</cp:lastModifiedBy>
  <dcterms:created xsi:type="dcterms:W3CDTF">2015-06-05T18:19:34Z</dcterms:created>
  <dcterms:modified xsi:type="dcterms:W3CDTF">2026-04-23T18:43:49Z</dcterms:modified>
</cp:coreProperties>
</file>